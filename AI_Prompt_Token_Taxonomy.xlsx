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 sheetId="1" state="visible" r:id="rId3"/>
    <sheet name="Category Summary" sheetId="2" state="visible" r:id="rId4"/>
    <sheet name="Methodology" sheetId="3" state="visible" r:id="rId5"/>
  </sheets>
  <definedNames>
    <definedName function="false" hidden="true" localSheetId="0" name="_xlnm._FilterDatabase" vbProcedure="false">Dataset!$A$1:$I$61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<sst xmlns="http://schemas.openxmlformats.org/spreadsheetml/2006/main" count="282" uniqueCount="220">
  <si>
    <t xml:space="preserve">ID</t>
  </si>
  <si>
    <t xml:space="preserve">Category</t>
  </si>
  <si>
    <t xml:space="preserve">Prompt</t>
  </si>
  <si>
    <t xml:space="preserve">Response</t>
  </si>
  <si>
    <t xml:space="preserve">Input Tokens (est.)</t>
  </si>
  <si>
    <t xml:space="preserve">Output Tokens (est.)</t>
  </si>
  <si>
    <t xml:space="preserve">Total Tokens (est.)</t>
  </si>
  <si>
    <t xml:space="preserve">Tier</t>
  </si>
  <si>
    <t xml:space="preserve">Primary Driver Note</t>
  </si>
  <si>
    <t xml:space="preserve">Quick Factual Lookup</t>
  </si>
  <si>
    <t xml:space="preserve">What's the capital of Japan?</t>
  </si>
  <si>
    <t xml:space="preserve">The capital of Japan is Tokyo.</t>
  </si>
  <si>
    <t xml:space="preserve">single fact, no elaboration requested</t>
  </si>
  <si>
    <t xml:space="preserve">What year did World War II end?</t>
  </si>
  <si>
    <t xml:space="preserve">World War II ended in 1945.</t>
  </si>
  <si>
    <t xml:space="preserve">single fact</t>
  </si>
  <si>
    <t xml:space="preserve">How many continents are there?</t>
  </si>
  <si>
    <t xml:space="preserve">There are seven continents: Africa, Antarctica, Asia, Australia, Europe, North America, and South America.</t>
  </si>
  <si>
    <t xml:space="preserve">single fact, enumerated list</t>
  </si>
  <si>
    <t xml:space="preserve">What is the boiling point of water in Celsius at sea level?</t>
  </si>
  <si>
    <t xml:space="preserve">Water boils at 100 degrees Celsius (212 degrees Fahrenheit) at standard sea-level atmospheric pressure.</t>
  </si>
  <si>
    <t xml:space="preserve">single fact with unit conversion</t>
  </si>
  <si>
    <t xml:space="preserve">Who wrote Romeo and Juliet and when?</t>
  </si>
  <si>
    <t xml:space="preserve">Romeo and Juliet was written by William Shakespeare, believed to have been composed between 1591 and 1595.</t>
  </si>
  <si>
    <t xml:space="preserve">single fact with date range</t>
  </si>
  <si>
    <t xml:space="preserve">What's the chemical symbol for gold?</t>
  </si>
  <si>
    <t xml:space="preserve">The chemical symbol for gold is Au, from the Latin word aurum.</t>
  </si>
  <si>
    <t xml:space="preserve">single fact with etymology</t>
  </si>
  <si>
    <t xml:space="preserve">Definitions &amp; Short Explanations</t>
  </si>
  <si>
    <t xml:space="preserve">Explain what an API is in one sentence.</t>
  </si>
  <si>
    <t xml:space="preserve">An API (Application Programming Interface) is a set of rules that lets one piece of software request services or data from another.</t>
  </si>
  <si>
    <t xml:space="preserve">explicitly constrained to one sentence</t>
  </si>
  <si>
    <t xml:space="preserve">Define machine learning in simple terms.</t>
  </si>
  <si>
    <t xml:space="preserve">Machine learning is a branch of AI where computer systems improve at a task by learning patterns from data, rather than following rules written explicitly by a programmer.</t>
  </si>
  <si>
    <t xml:space="preserve">no length constraint given, moderate elaboration</t>
  </si>
  <si>
    <t xml:space="preserve">What is compound interest? Explain with a short example.</t>
  </si>
  <si>
    <t xml:space="preserve">Compound interest is interest calculated on both the original principal and the interest already earned. For example, $1,000 at 5% annual interest becomes $1,050 after year one, and $1,102.50 after year two, because the second year's interest is calculated on $1,050, not the original $1,000.</t>
  </si>
  <si>
    <t xml:space="preserve">example requested, adds a worked calculation</t>
  </si>
  <si>
    <t xml:space="preserve">Explain the difference between HTTP and HTTPS.</t>
  </si>
  <si>
    <t xml:space="preserve">HTTP (Hypertext Transfer Protocol) sends data between a browser and a server in plain text. HTTPS adds a layer of encryption (TLS/SSL) on top of HTTP, so data in transit is scrambled and can't easily be read or tampered with by a third party. The 'S' stands for secure, and HTTPS is now the standard for any site handling passwords, payments, or personal data.</t>
  </si>
  <si>
    <t xml:space="preserve">comparison of two concepts, three distinct points</t>
  </si>
  <si>
    <t xml:space="preserve">What is a firewall and how does it work?</t>
  </si>
  <si>
    <t xml:space="preserve">A firewall is a security system that monitors and filters network traffic based on a defined set of rules. It sits between a trusted internal network and an untrusted external one (like the internet), inspecting incoming and outgoing packets and blocking or allowing them based on criteria like source IP, destination port, or protocol. Firewalls can be hardware devices, software running on a server, or built into a router, and they're typically the first line of defense against unauthorized access.</t>
  </si>
  <si>
    <t xml:space="preserve">mechanism explanation, multiple implementation types covered</t>
  </si>
  <si>
    <t xml:space="preserve">Define supply and demand with a simple example.</t>
  </si>
  <si>
    <t xml:space="preserve">Supply and demand describes how the price of a good is determined by how much of it is available (supply) versus how much people want it (demand). For example, if a new phone model launches with limited stock but high demand, the price tends to rise. If a farmer has a bumper crop of tomatoes and supply outpaces demand, prices tend to fall until the surplus clears.</t>
  </si>
  <si>
    <t xml:space="preserve">example requested, two-sided illustration</t>
  </si>
  <si>
    <t xml:space="preserve">Translation</t>
  </si>
  <si>
    <t xml:space="preserve">Translate 'Good morning, how are you?' into French.</t>
  </si>
  <si>
    <t xml:space="preserve">Bonjour, comment allez-vous ?</t>
  </si>
  <si>
    <t xml:space="preserve">very short input, single sentence</t>
  </si>
  <si>
    <t xml:space="preserve">Translate 'Thank you for your business' into Japanese.</t>
  </si>
  <si>
    <r>
      <rPr>
        <sz val="10"/>
        <rFont val="Noto Sans CJK SC"/>
        <family val="2"/>
      </rPr>
      <t xml:space="preserve">ご愛顧いただきありがとうございます </t>
    </r>
    <r>
      <rPr>
        <sz val="10"/>
        <rFont val="Arial"/>
        <family val="0"/>
        <charset val="1"/>
      </rPr>
      <t xml:space="preserve">(Go aikou itadaki arigatou gozaimasu)</t>
    </r>
  </si>
  <si>
    <t xml:space="preserve">short input, includes romanization</t>
  </si>
  <si>
    <t xml:space="preserve">Translate this paragraph into Spanish: "Our team is excited to announce the launch of our new product line. This release represents over a year of research and customer feedback, and we believe it will meaningfully improve how our users manage their daily workflows."</t>
  </si>
  <si>
    <t xml:space="preserve">Nuestro equipo esta encantado de anunciar el lanzamiento de nuestra nueva linea de productos. Este lanzamiento representa mas de un ano de investigacion y comentarios de los clientes, y creemos que mejorara significativamente la forma en que nuestros usuarios gestionan sus flujos de trabajo diarios.</t>
  </si>
  <si>
    <t xml:space="preserve">medium input paragraph, 1:1 length output</t>
  </si>
  <si>
    <t xml:space="preserve">Translate the following short email into German: "Hi Markus, just following up on our call yesterday. Could you send over the revised contract by Friday? Thanks, Anna"</t>
  </si>
  <si>
    <t xml:space="preserve">Hallo Markus, ich wollte nur auf unser gestriges Gespraech zurueckkommen. Koenntest du mir den ueberarbeiteten Vertrag bis Freitag zusenden? Danke, Anna</t>
  </si>
  <si>
    <t xml:space="preserve">medium input, business tone preserved</t>
  </si>
  <si>
    <t xml:space="preserve">Translate this 100-word product description into Italian: "The Aria Desk Lamp combines minimalist Scandinavian design with smart functionality. Its adjustable arm rotates 360 degrees, and the touch-sensitive base offers five brightness levels plus a warm-to-cool color temperature dial. Built from brushed aluminum and finished with a matte powder coat, it resists fingerprints and scratches. A hidden USB-C port on the base lets you charge your phone without extra cables cluttering your desk. Energy-efficient LEDs are rated for 50,000 hours of use, and the lamp ships with a two-year warranty. Available in charcoal, sand, and sage green."</t>
  </si>
  <si>
    <t xml:space="preserve">La lampada da scrivania Aria unisce un design scandinavo minimalista a funzionalita intelligenti. Il braccio regolabile ruota di 360 gradi e la base touch offre cinque livelli di luminosita oltre a una regolazione della temperatura del colore da caldo a freddo. Realizzata in alluminio spazzolato e rifinita con una verniciatura a polvere opaca, resiste a impronte e graffi. Una porta USB-C nascosta nella base consente di ricaricare il telefono senza cavi aggiuntivi sulla scrivania. I LED a basso consumo hanno una durata di 50.000 ore e la lampada e coperta da una garanzia di due anni. Disponibile nei colori antracite, sabbia e verde salvia.</t>
  </si>
  <si>
    <t xml:space="preserve">long input (~100 words), full 1:1 output</t>
  </si>
  <si>
    <t xml:space="preserve">Translate this legal disclaimer into Mandarin: "This document is provided for informational purposes only and does not constitute legal, financial, or tax advice. The company makes no warranties, express or implied, regarding the accuracy, completeness, or reliability of the information contained herein. Recipients should consult their own qualified professional advisors before making any decisions based on this document. The company disclaims all liability for any loss or damage arising from reliance on this material."</t>
  </si>
  <si>
    <r>
      <rPr>
        <sz val="10"/>
        <rFont val="Noto Sans CJK SC"/>
        <family val="2"/>
      </rPr>
      <t xml:space="preserve">本文件仅供参考</t>
    </r>
    <r>
      <rPr>
        <sz val="10"/>
        <rFont val="Arial"/>
        <family val="0"/>
        <charset val="1"/>
      </rPr>
      <t xml:space="preserve">,</t>
    </r>
    <r>
      <rPr>
        <sz val="10"/>
        <rFont val="Noto Sans CJK SC"/>
        <family val="2"/>
      </rPr>
      <t xml:space="preserve">不构成法律、财务或税务建议。公司不对本文件所含信息的准确性、完整性或可靠性作出任何明示或暗示的保证。接收者在根据本文件做出任何决定之前</t>
    </r>
    <r>
      <rPr>
        <sz val="10"/>
        <rFont val="Arial"/>
        <family val="0"/>
        <charset val="1"/>
      </rPr>
      <t xml:space="preserve">,</t>
    </r>
    <r>
      <rPr>
        <sz val="10"/>
        <rFont val="Noto Sans CJK SC"/>
        <family val="2"/>
      </rPr>
      <t xml:space="preserve">应咨询其自身合格的专业顾问。公司对因依赖本材料而产生的任何损失或损害不承担任何责任。</t>
    </r>
  </si>
  <si>
    <t xml:space="preserve">long, dense legal input requiring precise output</t>
  </si>
  <si>
    <t xml:space="preserve">Casual Conversation</t>
  </si>
  <si>
    <t xml:space="preserve">Hey, how's it going?</t>
  </si>
  <si>
    <t xml:space="preserve">Doing well, thanks for asking! What's on your mind today?</t>
  </si>
  <si>
    <t xml:space="preserve">open-ended greeting, brief reply</t>
  </si>
  <si>
    <t xml:space="preserve">Tell me a joke.</t>
  </si>
  <si>
    <t xml:space="preserve">Why don't scientists trust atoms? Because they make up everything!</t>
  </si>
  <si>
    <t xml:space="preserve">single short joke</t>
  </si>
  <si>
    <t xml:space="preserve">What's a good icebreaker for a team meeting?</t>
  </si>
  <si>
    <t xml:space="preserve">Try 'two truths and a lie' — each person shares two true facts and one false one about themselves, and the group guesses which is the lie. It's quick, low-pressure, and usually gets a few laughs.</t>
  </si>
  <si>
    <t xml:space="preserve">single suggestion with brief rationale</t>
  </si>
  <si>
    <t xml:space="preserve">Can you recommend a fun weekend activity?</t>
  </si>
  <si>
    <t xml:space="preserve">If you're up for something active, try a local hiking trail or a bike ride somewhere new. If you'd rather stay low-key, a farmers market followed by trying a new recipe at home is a nice way to spend a Saturday.</t>
  </si>
  <si>
    <t xml:space="preserve">two options given, no follow-up requested</t>
  </si>
  <si>
    <t xml:space="preserve">What's your take on pineapple on pizza?</t>
  </si>
  <si>
    <t xml:space="preserve">It's genuinely divisive! The sweet-savory combo works for a lot of people, especially paired with ham or bacon for saltiness. Others feel fruit has no place on a pizza. Honestly it comes down to personal taste, not a right answer.</t>
  </si>
  <si>
    <t xml:space="preserve">opinion-style prompt, balanced short response</t>
  </si>
  <si>
    <t xml:space="preserve">Give me a fun fact about octopuses.</t>
  </si>
  <si>
    <t xml:space="preserve">Octopuses have three hearts and blue blood. Two hearts pump blood to the gills, and the third pumps it to the rest of the body — that third heart actually stops beating when the octopus swims, which is part of why they prefer crawling over swimming.</t>
  </si>
  <si>
    <t xml:space="preserve">single fact, moderately elaborated</t>
  </si>
  <si>
    <t xml:space="preserve">Summarization</t>
  </si>
  <si>
    <t xml:space="preserve">Summarize this article in 2 sentences: "Renewable energy adoption has accelerated significantly over the past decade, driven by falling costs for solar panels and wind turbines, supportive government policy, and growing corporate demand for clean power. Solar photovoltaic costs have dropped by more than 80% since 2010, making it one of the cheapest sources of new electricity generation in many regions. Wind power has seen similar, if less dramatic, cost declines, particularly offshore. Grid integration remains a challenge: because solar and wind output varies with weather and time of day, utilities are investing heavily in battery storage and grid modernization to keep supply and demand balanced. Several countries have set ambitious targets, aiming for 50% or more of electricity generation from renewables by 2030. Critics point to the mining and disposal impacts of battery and panel materials, but most analysts agree the net environmental benefit strongly favors continued adoption."</t>
  </si>
  <si>
    <t xml:space="preserve">Renewable energy has grown rapidly due to falling solar and wind costs, supportive policy, and rising corporate demand, with several countries targeting 50%+ renewable electricity by 2030. The main remaining challenges are grid integration and the environmental footprint of battery and panel materials, though most analysts still view the shift as a net positive.</t>
  </si>
  <si>
    <t xml:space="preserve">input ~180 words, output tightly constrained to 2 sentences</t>
  </si>
  <si>
    <t xml:space="preserve">Summarize this meeting transcript into 5 bullet points: "Sarah: Okay, let's start with the Q3 numbers. Revenue came in at 4.2 million, about 8% ahead of forecast, mostly driven by the enterprise segment. Tom: Yeah, the two new enterprise logos we closed in August really moved the needle. Support tickets are up though, we need to think about headcount there. Sarah: Noted, let's revisit that in the ops review. Priya: On the product side, the mobile app redesign is on track for a beta release in three weeks. We're still waiting on final QA sign-off for the payments flow. Tom: Any blockers there? Priya: One — the sandbox environment for the payment provider has been flaky, we've filed a ticket with them. Sarah: Okay, flag it if it slips past next week. Anything else? Tom: Marketing wants budget approval for the fall campaign, I'll send the deck around today. Sarah: Great, let's close there."</t>
  </si>
  <si>
    <t xml:space="preserve">- Q3 revenue hit $4.2M, 8% ahead of forecast, driven by enterprise deals
- Two new enterprise logos closed in August were the main driver
- Support ticket volume is rising; headcount to be discussed in ops review
- Mobile app redesign on track for beta in 3 weeks, pending QA sign-off on payments
- Payment sandbox instability is a minor blocker; marketing to circulate fall campaign budget deck today</t>
  </si>
  <si>
    <t xml:space="preserve">input ~180 words dialogue, output constrained to exactly 5 bullets</t>
  </si>
  <si>
    <t xml:space="preserve">Give me a one-paragraph summary of this quarterly report: "Quarterly Business Review — Q3 Summary. Total revenue reached $4.2M, up 8% versus forecast and 15% year-over-year, driven primarily by enterprise segment growth following the closure of two major accounts in August. Gross margin held steady at 68%, consistent with prior quarters. Operating expenses rose 6%, largely due to increased customer support headcount needed to service the growing enterprise book, along with a one-time investment in a new support ticketing platform. Customer churn improved slightly to 2.1% monthly, down from 2.4% in Q2, which the team attributes to the new onboarding flow launched in July. On the product side, the mobile app redesign remains on schedule for a beta launch in early Q4, pending final QA sign-off on the payments integration, where a third-party sandbox environment has caused minor delays. The marketing team is requesting additional budget for a fall acquisition campaign, with an expected payback period of roughly five months based on current CAC trends. Overall, the quarter reflects healthy growth with manageable cost increases, though support scalability should be monitored closely heading into Q4."</t>
  </si>
  <si>
    <t xml:space="preserve">Q3 revenue grew 15% year-over-year to $4.2M on strong enterprise wins, with gross margin steady at 68% despite a 6% rise in operating expenses tied to support headcount and a new ticketing platform. Churn improved to 2.1%, the mobile app redesign is on track for an early Q4 beta pending payments QA, and marketing is requesting budget for a fall campaign with an estimated five-month payback. Overall, growth is healthy but support scalability needs monitoring.</t>
  </si>
  <si>
    <t xml:space="preserve">input ~200 words business report, output condensed to one dense paragraph</t>
  </si>
  <si>
    <t xml:space="preserve">TL;DR this email thread: "From Dana (Mon): Hi team, can we push the launch date by a week? QA found two blocking bugs. From Raj (Mon): That works for me, but marketing already has ads scheduled for the original date — can we check with them first? From Dana (Tue): Talked to marketing, they can shift the ad spend without penalty if we confirm by Wednesday. From Priya (Tue): QA update — one of the two bugs is fixed, the other needs another day. From Raj (Wed): Given that, let's lock in the one-week delay and I'll notify marketing to shift everything. From Dana (Wed): Sounds good, updating the roadmap now."</t>
  </si>
  <si>
    <t xml:space="preserve">Team agreed to delay launch by one week due to two QA bugs (one now fixed); marketing confirmed they can shift ad spend without penalty, and the delay is now locked in.</t>
  </si>
  <si>
    <t xml:space="preserve">input ~110 words thread, output single-sentence TL;DR</t>
  </si>
  <si>
    <t xml:space="preserve">Summarize this research abstract for a non-technical audience: "This study examines the impact of intermittent fasting on metabolic markers in a cohort of 240 adults over 16 weeks. Participants were randomized into a 16:8 time-restricted eating group or a control group following standard caloric guidance. The intervention group showed a statistically significant reduction in fasting insulin (p &lt; 0.01) and modest improvements in HbA1c compared to controls, though total weight loss did not differ significantly between groups. Adherence was high (87%) in the intervention arm. The authors conclude that time-restricted eating may offer metabolic benefits independent of weight loss, though longer-term studies are needed to assess durability of these effects and cardiovascular outcomes."</t>
  </si>
  <si>
    <t xml:space="preserve">A 16-week study of 240 adults found that eating only within an 8-hour daily window (a type of intermittent fasting) improved blood sugar-related markers like insulin levels, even though it didn't lead to significantly more weight loss than a normal diet. Most participants stuck with the eating schedule. The takeaway: this style of fasting might help metabolic health even without dramatic weight change, though researchers want longer studies to confirm the benefits hold up over time.</t>
  </si>
  <si>
    <t xml:space="preserve">input ~130 words technical abstract, output requires jargon simplification, not just shortening</t>
  </si>
  <si>
    <t xml:space="preserve">Condense this long internal document into a 5-sentence executive summary: "Quarterly Business Review — Q3 Summary. Total revenue reached $4.2M, up 8% versus forecast and 15% year-over-year, driven primarily by enterprise segment growth following the closure of two major accounts in August. Gross margin held steady at 68%, consistent with prior quarters. Operating expenses rose 6%, largely due to increased customer support headcount needed to service the growing enterprise book, along with a one-time investment in a new support ticketing platform. Customer churn improved slightly to 2.1% monthly, down from 2.4% in Q2, which the team attributes to the new onboarding flow launched in July. On the product side, the mobile app redesign remains on schedule for a beta launch in early Q4, pending final QA sign-off on the payments integration, where a third-party sandbox environment has caused minor delays. The marketing team is requesting additional budget for a fall acquisition campaign, with an expected payback period of roughly five months based on current CAC trends. Overall, the quarter reflects healthy growth with manageable cost increases, though support scalability should be monitored closely heading into Q4. Renewable energy adoption has accelerated significantly over the past decade, driven by falling costs for solar panels and wind turbines, supportive government policy, and growing corporate demand for clean power. Solar photovoltaic costs have dropped by more than 80% since 2010, making it one of the cheapest sources of new electricity generation in many regions. Wind power has seen similar, if less dramatic, cost declines, particularly offshore. Grid integration remains a challenge: because solar and wind output varies with weather and time of day, utilities are investing heavily in battery storage and grid modernization to keep supply and demand balanced. Several countries have set ambitious targets, aiming for 50% or more of electricity generation from renewables by 2030. Critics point to the mining and disposal impacts of battery and panel materials, but most analysts agree the net environmental benefit strongly favors continued adoption. This study examines the impact of intermittent fasting on metabolic markers in a cohort o...[document continues, ~2,800 words total]"</t>
  </si>
  <si>
    <t xml:space="preserve">Q3 showed healthy growth, with revenue up 15% year-over-year on enterprise wins and margins holding steady despite rising support costs. Separately, the renewable energy market context suggests continued cost declines in solar and wind will keep pressure on traditional energy budgets. A related internal research summary indicates time-restricted eating trials show metabolic benefits independent of weight loss, included here for the wellness benefits program review. Across all three sections, the throughline is steady, measured progress with a few operational risks to monitor. No section requires immediate escalation, but support headcount and long-term study durability are both worth a follow-up next quarter.</t>
  </si>
  <si>
    <t xml:space="preserve">very long simulated input (~2,800 words), output still constrained to 5 sentences — shows input length as the dominant cost driver</t>
  </si>
  <si>
    <t xml:space="preserve">Code Generation</t>
  </si>
  <si>
    <t xml:space="preserve">Write a Python function to reverse a string.</t>
  </si>
  <si>
    <t xml:space="preserve">```python
def reverse_string(s: str) -&gt; str:
    return s[::-1]
```</t>
  </si>
  <si>
    <t xml:space="preserve">single function, no tests or explanation requested</t>
  </si>
  <si>
    <t xml:space="preserve">Write a JavaScript function to validate an email address using regex.</t>
  </si>
  <si>
    <t xml:space="preserve">```javascript
function isValidEmail(email) {
  const pattern = /^[^\s@]+@[^\s@]+\.[^\s@]+$/;
  return pattern.test(email);
}
```</t>
  </si>
  <si>
    <t xml:space="preserve">single function with regex, minimal scope</t>
  </si>
  <si>
    <t xml:space="preserve">Write a Python script that scrapes headlines from a news webpage and saves them to a CSV file.</t>
  </si>
  <si>
    <t xml:space="preserve">```python
import csv
import requests
from bs4 import BeautifulSoup
def scrape_headlines(url, output_path="headlines.csv"):
    response = requests.get(url, timeout=10)
    response.raise_for_status()
    soup = BeautifulSoup(response.text, "html.parser")
    headlines = [tag.get_text(strip=True) for tag in soup.find_all("h2")]
    with open(output_path, "w", newline="", encoding="utf-8") as f:
        writer = csv.writer(f)
        writer.writerow(["headline"])
        for h in headlines:
            writer.writerow([h])
    print(f"Saved {len(headlines)} headlines to {output_path}")
if __name__ == "__main__":
    scrape_headlines("https://example-news-site.com")
```</t>
  </si>
  <si>
    <t xml:space="preserve">multi-step script: request handling, parsing, file I/O</t>
  </si>
  <si>
    <t xml:space="preserve">Build a REST API endpoint in Node.js with Express for user registration, including input validation and password hashing.</t>
  </si>
  <si>
    <t xml:space="preserve">```javascript
const express = require("express");
const bcrypt = require("bcrypt");
const { body, validationResult } = require("express-validator");
const router = express.Router();
router.post(
  "/register",
  [
    body("email").isEmail().withMessage("Valid email required"),
    body("password").isLength({ min: 8 }).withMessage("Password must be at least 8 characters"),
    body("name").notEmpty().withMessage("Name is required"),
  ],
  async (req, res) =&gt; {
    const errors = validationResult(req);
    if (!errors.isEmpty()) {
      return res.status(400).json({ errors: errors.array() });
    }
    const { email, password, name } = req.body;
    try {
      const existingUser = await User.findOne({ email });
      if (existingUser) {
        return res.status(409).json({ message: "Email already registered" });
      }
      const hashedPassword = await bcrypt.hash(password, 12);
      const user = await User.create({ email, password: hashedPassword, name });
      res.status(201).json({ id: user.id, email: user.email, name: user.name });
    } catch (err) {
      res.status(500).json({ message: "Internal server error" });
    }
  }
);
module.exports = router;
```</t>
  </si>
  <si>
    <t xml:space="preserve">validation rules, async DB logic, error handling all requested</t>
  </si>
  <si>
    <t xml:space="preserve">Write a complete React component for a paginated data table that supports column sorting and text filtering.</t>
  </si>
  <si>
    <t xml:space="preserve">```jsx
import { useState, useMemo } from "react";
function DataTable({ data, columns, pageSize = 10 }) {
  const [sortKey, setSortKey] = useState(null);
  const [sortDir, setSortDir] = useState("asc");
  const [filter, setFilter] = useState("");
  const [page, setPage] = useState(1);
  const filtered = useMemo(() =&gt; {
    if (!filter) return data;
    return data.filter((row) =&gt;
      columns.some((col) =&gt;
        String(row[col.key]).toLowerCase().includes(filter.toLowerCase())
      )
    );
  }, [data, filter, columns]);
  const sorted = useMemo(() =&gt; {
    if (!sortKey) return filtered;
    return [...filtered].sort((a, b) =&gt; {
      const av = a[sortKey], bv = b[sortKey];
      if (av &lt; bv) return sortDir === "asc" ? -1 : 1;
      if (av &gt; bv) return sortDir === "asc" ? 1 : -1;
      return 0;
    });
  }, [filtered, sortKey, sortDir]);
  const totalPages = Math.max(1, Math.ceil(sorted.length / pageSize));
  const pageData = sorted.slice((page - 1) * pageSize, page * pageSize);
  const toggleSort = (key) =&gt; {
    if (sortKey === key) {
      setSortDir(sortDir === "asc" ? "desc" : "asc");
    } else {
      setSortKey(key);
      setSortDir("asc");
    }
  };
  return (
    &lt;div&gt;
      &lt;input
        placeholder="Filter..."
        value={filter}
        onChange={(e) =&gt; { setFilter(e.target.value); setPage(1); }}
      /&gt;
      &lt;table&gt;
        &lt;thead&gt;
          &lt;tr&gt;
            {columns.map((col) =&gt; (
              &lt;th key={col.key} onClick={() =&gt; toggleSort(col.key)}&gt;
                {col.label} {sortKey === col.key ? (sortDir === "asc" ? "^" : "v") : ""}
              &lt;/th&gt;
            ))}
          &lt;/tr&gt;
        &lt;/thead&gt;
        &lt;tbody&gt;
          {pageData.map((row, i) =&gt; (
            &lt;tr key={i}&gt;
              {columns.map((col) =&gt; (
                &lt;td key={col.key}&gt;{row[col.key]}&lt;/td&gt;
              ))}
            &lt;/tr&gt;
          ))}
        &lt;/tbody&gt;
      &lt;/table&gt;
      &lt;div&gt;
        &lt;button disabled={page === 1} onClick={() =&gt; setPage(page - 1)}&gt;Prev&lt;/button&gt;
        &lt;span&gt; Page {page} of {totalPages} &lt;/span&gt;
        &lt;button disabled={page === totalPages} onClick={() =&gt; setPage(page + 1)}&gt;Next&lt;/button&gt;
      &lt;/div&gt;
    &lt;/div&gt;
  );
}
export default DataTable;
```</t>
  </si>
  <si>
    <t xml:space="preserve">three combined features (sort + filter + pagination) requested in one component</t>
  </si>
  <si>
    <t xml:space="preserve">Design and implement a Python class for an LRU (Least Recently Used) cache, and include unit tests.</t>
  </si>
  <si>
    <t xml:space="preserve">```python
from collections import OrderedDict
class LRUCache:
    def __init__(self, capacity: int):
        self.capacity = capacity
        self.cache = OrderedDict()
    def get(self, key):
        if key not in self.cache:
            return -1
        self.cache.move_to_end(key)
        return self.cache[key]
    def put(self, key, value):
        if key in self.cache:
            self.cache.move_to_end(key)
        self.cache[key] = value
        if len(self.cache) &gt; self.capacity:
            self.cache.popitem(last=False)
import unittest
class TestLRUCache(unittest.TestCase):
    def test_basic_put_get(self):
        cache = LRUCache(2)
        cache.put(1, "a")
        cache.put(2, "b")
        self.assertEqual(cache.get(1), "a")
    def test_eviction(self):
        cache = LRUCache(2)
        cache.put(1, "a")
        cache.put(2, "b")
        cache.get(1)
        cache.put(3, "c")
        self.assertEqual(cache.get(2), -1)
        self.assertEqual(cache.get(1), "a")
        self.assertEqual(cache.get(3), "c")
    def test_update_existing_key(self):
        cache = LRUCache(2)
        cache.put(1, "a")
        cache.put(1, "b")
        self.assertEqual(cache.get(1), "b")
if __name__ == "__main__":
    unittest.main()
```</t>
  </si>
  <si>
    <t xml:space="preserve">implementation plus a full test suite requested together</t>
  </si>
  <si>
    <t xml:space="preserve">Code Debugging &amp; Explanation</t>
  </si>
  <si>
    <t xml:space="preserve">Explain what this regex does: ^[a-zA-Z0-9]+@[a-zA-Z0-9]+\.[a-zA-Z]{2,}$</t>
  </si>
  <si>
    <t xml:space="preserve">This regex validates a basic email format. `^` and `$` anchor the match to the whole string. `[a-zA-Z0-9]+` requires one or more letters/digits before the `@`. `@` matches a literal at-sign. `[a-zA-Z0-9]+` again requires the domain name. `\.` matches a literal period, and `[a-zA-Z]{2,}` requires at least two letters for the top-level domain (like 'com' or 'io'). Note it doesn't allow dots, hyphens, or plus-signs in the local part, so it would reject valid addresses like 'first.last@example.com'.</t>
  </si>
  <si>
    <t xml:space="preserve">explanation of an existing pattern, no new code written</t>
  </si>
  <si>
    <t xml:space="preserve">Why does this code throw a NullPointerException?
```java
String name = getUserName(userId);
if (name.equals("admin")) { ... }
```</t>
  </si>
  <si>
    <t xml:space="preserve">The exception happens because `getUserName(userId)` can return `null` (for example if the user isn't found), and calling `.equals()` on a null reference throws a NullPointerException. The fix is to either check for null first (`if (name != null &amp;&amp; name.equals("admin"))`), or flip the comparison so the string literal calls equals (`"admin".equals(name)`), which safely returns false instead of throwing when `name` is null.</t>
  </si>
  <si>
    <t xml:space="preserve">root-cause explanation plus a one-line fix</t>
  </si>
  <si>
    <t xml:space="preserve">Debug this Python function — it's supposed to sort a list of dicts by 'age' but isn't working:
```python
def sort_by_age(people):
    people.sort(key='age')
    return people
```</t>
  </si>
  <si>
    <t xml:space="preserve">The bug is in the `key` argument. `key` needs to be a callable (a function) that extracts the sort value from each item, not the string `'age'` itself. Passing a string causes Python to try calling `'age'()` internally, which raises a TypeError, not silently doing the wrong thing. The fix:
```python
def sort_by_age(people):
    people.sort(key=lambda p: p['age'])
    return people
```
Alternatively, use `operator.itemgetter('age')` for a slightly faster, more idiomatic version: `people.sort(key=itemgetter('age'))`.</t>
  </si>
  <si>
    <t xml:space="preserve">explanation plus corrected code plus an alternative approach</t>
  </si>
  <si>
    <t xml:space="preserve">Review this SQL query for performance issues and suggest optimizations:
```sql
SELECT * FROM orders o, customers c WHERE o.customer_id = c.id AND o.status = 'pending' ORDER BY o.created_at;
```</t>
  </si>
  <si>
    <t xml:space="preserve">A few issues here. First, `SELECT *` pulls every column even if only a few are needed downstream — specify only the columns you actually use to reduce I/O. Second, the implicit join syntax (`FROM a, b WHERE ...`) works but is harder to read and maintain than an explicit `JOIN ... ON`; it doesn't affect performance directly but increases the risk of accidental cross joins as the query grows. Third, and most importantly, make sure there are indexes on `orders.customer_id`, `orders.status`, and `orders.created_at` — without them, this query does a full table scan, filters, and then sorts in memory, which gets slow fast as the orders table grows. A composite index on `(status, created_at)` would let the database satisfy the WHERE and ORDER BY in one pass. Rewritten:
```sql
SELECT o.id, o.customer_id, o.status, o.created_at, c.name
FROM orders o
JOIN customers c ON o.customer_id = c.id
WHERE o.status = 'pending'
ORDER BY o.created_at;
```</t>
  </si>
  <si>
    <t xml:space="preserve">multi-part review: readability, indexing strategy, and rewritten query</t>
  </si>
  <si>
    <t xml:space="preserve">Walk me through why this recursive function causes a stack overflow, and show a fix:
```python
def factorial(n):
    return n * factorial(n - 1)
```</t>
  </si>
  <si>
    <t xml:space="preserve">This function has no base case — it never stops recursing. Every call to `factorial(n)` triggers another call to `factorial(n-1)`, which triggers `factorial(n-2)`, and so on indefinitely, even past zero into negative numbers, since there's no condition that returns a value without recursing further. Each call adds a new frame to the call stack, and once Python's recursion limit (or the actual memory available for the stack) is exceeded, you get a stack overflow / RecursionError.
The fix is to add a base case that stops the recursion:
```python
def factorial(n):
    if n &lt;= 1:
        return 1
    return n * factorial(n - 1)
```
Now `factorial(1)` and `factorial(0)` return 1 directly without recursing further, so the chain of calls terminates. For very large `n`, you'd also want to consider an iterative version to avoid hitting Python's default recursion limit (1000) altogether:
```python
def factorial_iterative(n):
    result = 1
    for i in range(2, n + 1):
        result *= i
    return result
```</t>
  </si>
  <si>
    <t xml:space="preserve">root cause explanation, fix, and an alternative iterative implementation</t>
  </si>
  <si>
    <t xml:space="preserve">Explain line-by-line what this function does:
```python
def process(items):
    seen = set()
    result = []
    for item in items:
        key = item.lower().strip()
        if key not in seen:
            seen.add(key)
            result.append(item)
    return result
```</t>
  </si>
  <si>
    <t xml:space="preserve">Line by line: `seen = set()` creates an empty set to track which normalized values we've already encountered. `result = []` starts an empty list to hold the output. The `for item in items` loop walks through every element in the input list. `key = item.lower().strip()` normalizes each item by lowercasing it and trimming whitespace, so that, say, ' Apple' and 'apple ' are treated as the same value. `if key not in seen` checks whether we've already seen this normalized version. If not, `seen.add(key)` records it, and `result.append(item)` adds the *original* (non-normalized) item to the output list. Finally, `return result` gives back the list. Net effect: this is a case-insensitive, whitespace-insensitive de-duplication function that preserves the first occurrence's original formatting and the original input order.</t>
  </si>
  <si>
    <t xml:space="preserve">full walkthrough of every line, requested explicitly</t>
  </si>
  <si>
    <t xml:space="preserve">Document/Data Analysis</t>
  </si>
  <si>
    <t xml:space="preserve">Analyze this sales data and tell me the top 3 trends: Month | Region | Revenue | Units
Jan | West | 120000 | 400
Jan | East | 95000 | 310
Feb | West | 132000 | 430
Feb | East | 91000 | 300
Mar | West | 145000 | 470
Mar | East | 89000 | 290</t>
  </si>
  <si>
    <t xml:space="preserve">Three trends stand out: (1) West region revenue is growing steadily month over month (120K to 132K to 145K), a roughly 21% increase over the quarter, while East is declining slightly each month (95K to 91K to 89K). (2) Units sold in West are tracking closely with revenue growth, suggesting the increase is driven by volume rather than pricing changes. (3) East's declining revenue combined with roughly flat average order value suggests a demand or competitive issue specific to that region rather than a pricing problem — worth investigating with the regional sales team.</t>
  </si>
  <si>
    <t xml:space="preserve">structured table input, requires cross-row comparison and inference</t>
  </si>
  <si>
    <t xml:space="preserve">Compare these two datasets and identify discrepancies:
Dataset A: Customer IDs: 1001-1050, Total: 50 records, Avg order value: $85
Dataset B: Customer IDs: 1001-1048, 1052, Total: 49 records, Avg order value: $91</t>
  </si>
  <si>
    <t xml:space="preserve">Two discrepancies stand out. First, record counts differ (50 vs 49) and the ID ranges don't fully overlap — Dataset A includes IDs 1049 and 1050, which are missing from Dataset B, while Dataset B includes ID 1052, which isn't in Dataset A at all. This suggests either a sync timing difference or records being added/removed between extracts. Second, the average order value differs meaningfully ($85 vs $91, about a 7% gap), which is larger than you'd expect from losing two customers and gaining one — worth checking whether Dataset B was pulled after some order values were corrected or refunded.</t>
  </si>
  <si>
    <t xml:space="preserve">requires numeric comparison plus reasoning about root cause</t>
  </si>
  <si>
    <t xml:space="preserve">Given this customer feedback, categorize the complaints into themes and quantify each: 1) 'App crashes every time I try to upload a photo.' 2) 'Support took 3 days to respond to my ticket.' 3) 'Love the new dashboard design!' 4) 'Cannot log in on iOS after the last update.' 5) 'Billing charged me twice this month.' 6) 'The upload feature is buggy on mobile.' 7) 'Wish there was a dark mode.' 8) 'Great customer service when I finally got through.' 9) 'App keeps freezing on the photos screen.' 10) 'Double charged again, please fix billing.'</t>
  </si>
  <si>
    <t xml:space="preserve">Grouped into themes: **Upload/crash bugs** — 3 mentions (items 1, 6, 9), all pointing to instability specifically on the photo upload flow. **Billing errors** — 2 mentions (items 5, 10), both describing duplicate charges, which suggests a systemic billing bug rather than isolated incidents. **Login issues** — 1 mention (item 4), tied to a recent iOS update. **Support responsiveness** — 1 mention (item 2), a 3-day response time complaint. **Positive feedback** — 2 mentions (items 3, 8), praising the dashboard redesign and support quality once reached. Priority-wise, the upload crashes and duplicate billing charges are the most urgent since they're both recurring and directly impact core functionality or money.</t>
  </si>
  <si>
    <t xml:space="preserve">categorization plus quantification plus prioritization requested</t>
  </si>
  <si>
    <t xml:space="preserve">Analyze this financial statement and flag red flags for an investor: Revenue: $2.1M (up from $1.8M last year). Net income: $150K (down from $310K last year). Total debt: $900K (up from $400K last year). Cash on hand: $80K (down from $500K last year). Accounts receivable: $410K (up from $190K last year).</t>
  </si>
  <si>
    <t xml:space="preserve">Several red flags here despite top-line growth. Revenue is up 17%, which looks healthy on the surface, but net income fell by more than half — margins are clearly compressing, likely from rising costs or discounting to drive that revenue growth. More concerning is the balance sheet: debt more than doubled ($400K to $900K) while cash on hand dropped by 84% ($500K to $80K), which is a serious liquidity concern — this company may be funding operations with debt rather than profit. Accounts receivable more than doubled too (up 116%), which combined with falling cash suggests the company may be struggling to actually collect on sales, not just book them. Taken together, this pattern — revenue growth, shrinking profit, rising debt, cash burn, and slower collections — is a classic warning sign of a business outrunning its financial controls, and would warrant a much closer look at cash flow statements and customer payment terms before investing.</t>
  </si>
  <si>
    <t xml:space="preserve">requires connecting five separate numbers into one coherent risk narrative</t>
  </si>
  <si>
    <t xml:space="preserve">Review these survey results and produce a report with recommendations: Q: How satisfied are you with our product? (1-5 scale, n=500) Results: 5-star: 180, 4-star: 150, 3-star: 90, 2-star: 50, 1-star: 30. Top requested feature (open text, top mentions): 'better mobile app' (140 mentions), 'faster support' (95 mentions), 'more integrations' (80 mentions), 'lower price' (60 mentions).</t>
  </si>
  <si>
    <t xml:space="preserve">**Summary:** Overall satisfaction is solidly positive — 66% of respondents (330 of 500) rated the product 4 or 5 stars, though 16% (80 respondents) gave it 1 or 2 stars, indicating a meaningful unhappy minority worth addressing.
**Key findings:**
- Mobile app quality is the single largest concern, cited by 140 respondents (28% of all respondents) — this is likely the biggest lever for moving overall satisfaction.
- Support speed is the second most-cited issue (95 mentions, 19%), consistent with a broader pattern of responsiveness concerns.
- Integration requests (80 mentions) and pricing concerns (60 mentions) are present but secondary.
**Recommendations:**
1. Prioritize a mobile app quality/performance audit this quarter — it's the highest-leverage fix given mention volume.
2. Investigate current support SLAs and staffing to address the response-time complaints.
3. Treat integrations and pricing as roadmap inputs rather than urgent fixes, and revisit after the mobile and support issues are addressed.
4. Re-survey the 1-2 star segment specifically in 90 days to see if these changes move their scores.</t>
  </si>
  <si>
    <t xml:space="preserve">full structured report requested: summary, findings, and numbered recommendations</t>
  </si>
  <si>
    <t xml:space="preserve">Perform a SWOT analysis for a mid-sized SaaS company based on this context: strong product-market fit in mid-market segment, high customer satisfaction, but heavy reliance on a single enterprise client for 30% of revenue, slow international expansion, and two well-funded competitors entering the market this year.</t>
  </si>
  <si>
    <t xml:space="preserve">**Strengths:** Strong product-market fit in the mid-market segment and high customer satisfaction suggest a defensible core offering and healthy retention potential — this is a solid foundation to build from.
**Weaknesses:** Revenue concentration is the standout risk — with one client representing 30% of revenue, losing that account would materially damage the business. Slow international expansion also means the company is likely leaving growth on the table relative to competitors already operating globally.
**Opportunities:** The strong mid-market fit could be extended internationally if expansion is accelerated, and high customer satisfaction could be leveraged into a stronger referral/expansion motion to diversify revenue away from the concentrated enterprise account.
**Threats:** Two well-funded competitors entering this year is a direct threat to market share, especially if they can undercut on price or move faster internationally. Combined with the revenue concentration risk, the company is somewhat exposed on two fronts at once — competitive and customer-concentration risk — which compounds the urgency of diversifying both the client base and the geographic footprint.</t>
  </si>
  <si>
    <t xml:space="preserve">four-quadrant structured framework applied to a multi-factor scenario</t>
  </si>
  <si>
    <t xml:space="preserve">Long-Form Creative Writing</t>
  </si>
  <si>
    <t xml:space="preserve">Write a poem about the changing seasons.</t>
  </si>
  <si>
    <t xml:space="preserve">Autumn Turning
The green lets go, unclenched and slow,
to amber, rust, and gold —
the trees undress for winter's guest
before the air turns cold.
Then white arrives in silent drifts,
the world holds still and bare,
until some morning, soft and warm,
new green appears somewhere.
And summer comes with lazy light,
long days that stretch and stay,
until the green begins to fade,
and autumn has its say.</t>
  </si>
  <si>
    <t xml:space="preserve">creative but bounded by poetic form, naturally shorter output</t>
  </si>
  <si>
    <t xml:space="preserve">Write a 3-paragraph product launch blog post for a new fitness tracking app called PulseTrack.</t>
  </si>
  <si>
    <t xml:space="preserve">Today, we're excited to introduce PulseTrack, a fitness app built for people who want real insight, not just raw numbers. Instead of drowning you in charts, PulseTrack translates your heart rate, sleep, and activity data into plain-language guidance you can actually act on — telling you not just what happened, but what it means for tomorrow's workout.
Under the hood, PulseTrack uses adaptive recovery scoring that factors in your sleep quality, resting heart rate trends, and recent training load to recommend whether today should be a push day or a rest day. It's the kind of guidance elite athletes have had access to for years, now built into an app anyone can use for free.
PulseTrack is available today on iOS and Android. Early users who sign up this month get lifetime access to our premium recovery insights at no extra cost. Download it, connect your favorite wearable, and let PulseTrack help you train smarter, not just harder.</t>
  </si>
  <si>
    <t xml:space="preserve">explicit paragraph count requested, marketing tone</t>
  </si>
  <si>
    <t xml:space="preserve">Write a detailed character backstory for a fantasy novel protagonist: a reluctant healer who used to be a soldier.</t>
  </si>
  <si>
    <t xml:space="preserve">Kael Ardenn was not born a healer. He was born the third son of a minor border lord, in a keep that valued swordsmanship over softness, and so he was handed a blade before he could properly write his name. By sixteen, he had killed his first man in a border skirmish that history would later call minor, though nothing about watching a boy his own age drown in his own blood felt minor to Kael.
He served for eleven years in the Ardenn levies, rising to command a company of forty during the Reave campaigns — a string of brutal, indecisive battles fought over a valley neither side particularly needed. It was there, in a field hospital after the battle of Thorn's Crossing, that everything changed. His company had been gutted, and Kael, wounded himself, spent three days helping the field surgeons instead of waiting for his own turn. He watched a healer named Sister Maren save more lives with her hands and a bag of herbs than his entire company had taken with steel. Something in him broke, or perhaps finally mended.
He never picked up a sword again. He apprenticed under Maren for six years, learning slowly, resented by some healers for his soldier's hands and trusted by none of his old comrades, who saw his choice as a kind of desertion. Now in his late thirties, Kael travels the border villages his old company once marched through, healing where he once harmed, though the guilt never fully leaves him — every scar he treats reminds him of the ones he caused. He carries no weapon, but old instincts die hard, and in a crisis, the soldier in him still surfaces before the healer does, a tension that shapes every difficult choice he makes.</t>
  </si>
  <si>
    <t xml:space="preserve">'detailed' explicitly requested, multi-paragraph narrative arc with backstory beats</t>
  </si>
  <si>
    <t xml:space="preserve">Write a full script for a 2-minute explainer video about cybersecurity basics for small business owners.</t>
  </si>
  <si>
    <t xml:space="preserve">[OPEN on a small storefront, owner at a laptop]
NARRATOR: Running a small business means wearing a dozen hats. Cybersecurity probably isn't the one you signed up for — but it might be the one that saves your business.
[CUT to animated graphic: a lock icon]
NARRATOR: Here's the good news — you don't need to be a tech expert. Just three habits cover most of the risk.
[GRAPHIC: '1. Strong, unique passwords']
NARRATOR: First, use a different, strong password for every account. A password manager does this for you automatically, so you only have to remember one.
[GRAPHIC: '2. Two-factor authentication']
NARRATOR: Second, turn on two-factor authentication wherever you can. Even if a password leaks, a stolen password alone won't get anyone in.
[GRAPHIC: '3. Back up your data']
NARRATOR: Third, back up your data automatically, and keep a copy somewhere separate from your main systems. If ransomware ever locks you out, a backup means you can recover without paying anyone.
[CUT back to the store owner, now smiling, closing the laptop]
NARRATOR: None of this takes a security team. It takes twenty minutes and a bit of discipline — and it's twenty minutes that could save your business.
[END CARD: company logo, 'Protect what you built.']</t>
  </si>
  <si>
    <t xml:space="preserve">script format with scene directions, paced for a fixed 2-minute runtime</t>
  </si>
  <si>
    <t xml:space="preserve">Write a 1000-word short story with a plot twist ending, set in a lighthouse.</t>
  </si>
  <si>
    <t xml:space="preserve">[Full short story — approximately 1,000 words — about a lighthouse keeper named Elias who believes he's been alone on a remote island for three months, faithfully logging strange lights on the horizon each night that he assumes are passing ships. The story follows his daily routine, his increasing unease at radio silence from the mainland, and small, unsettling details he can't quite explain — a second set of footprints in the sand, supplies moved slightly from where he left them, a light in the lighthouse's disused lower room he doesn't remember lighting. 
The narrative builds his isolation and paranoia gradually across several sections covering his daily maintenance rituals, his attempts to fix the broken radio, and a storm that traps him inside for two days, during which the footsteps and moved objects intensify. 
The twist: in the final section, a supply boat finally arrives, and the crew is confused — records show the lighthouse was decommissioned and unmanned three months ago, evacuated ahead of a storm that struck the island, and no one has been assigned to it since. Elias's 'strange lights' were searchlights from boats looking for a keeper who, it's gradually revealed through the crew's reaction and a final, unsettling detail about his own reflection, never actually made it off the island during that first evacuation storm at all.]</t>
  </si>
  <si>
    <t xml:space="preserve">explicit word count target (1000 words) plus twist ending structure — output length is the dominant driver here</t>
  </si>
  <si>
    <t xml:space="preserve">Write a haiku about coffee.</t>
  </si>
  <si>
    <t xml:space="preserve">Steam curls from the cup
bitter warmth wakes the still house
morning begins now</t>
  </si>
  <si>
    <t xml:space="preserve">tightly bounded poetic form, shortest possible creative output</t>
  </si>
  <si>
    <t xml:space="preserve">Multi-Step Reasoning</t>
  </si>
  <si>
    <t xml:space="preserve">Walk through step-by-step how to calculate compound interest for $5,000 invested at 6% annual interest for 3 years, showing all work.</t>
  </si>
  <si>
    <t xml:space="preserve">Step 1: Identify the formula. Compound interest uses A = P(1 + r)^t, where P is principal, r is the annual rate as a decimal, and t is the number of years.
Step 2: Plug in the values. P = 5000, r = 0.06, t = 3. So A = 5000 * (1.06)^3.
Step 3: Calculate (1.06)^3. 1.06 * 1.06 = 1.1236. Then 1.1236 * 1.06 = 1.191016.
Step 4: Multiply by principal. A = 5000 * 1.191016 = 5,955.08.
Step 5: Find the interest earned. Interest = A - P = 5,955.08 - 5,000 = 955.08.
So after 3 years, the investment grows to $5,955.08, earning $955.08 in compound interest.</t>
  </si>
  <si>
    <t xml:space="preserve">explicit 'show all work' instruction forces step-by-step output</t>
  </si>
  <si>
    <t xml:space="preserve">Solve this logic puzzle and explain your reasoning at each step: Three friends, Alex, Bo, and Cam, each have a different pet (dog, cat, bird). Alex doesn't have the bird. The person with the dog is not Bo. Cam has the cat. Who has which pet?</t>
  </si>
  <si>
    <t xml:space="preserve">Step 1: Cam has the cat (given directly). That leaves dog and bird for Alex and Bo.
Step 2: Alex doesn't have the bird (given). Since the only options left are dog and bird, Alex must have the dog.
Step 3: Check the third clue — the person with the dog is not Bo. Since Alex has the dog, this is consistent, and it confirms Bo does not have the dog, which lines up with Alex having it.
Step 4: By elimination, Bo must have the remaining pet, the bird.
Final answer: Cam has the cat, Alex has the dog, and Bo has the bird.</t>
  </si>
  <si>
    <t xml:space="preserve">explicit step-by-step reasoning requested for a small constraint problem</t>
  </si>
  <si>
    <t xml:space="preserve">Given these constraints, design a step-by-step project plan with milestones: launching a new internal tool in 8 weeks, with a 3-person engineering team, one required security review, and a hard compliance deadline in week 7.</t>
  </si>
  <si>
    <t xml:space="preserve">Step 1 — Weeks 1-2: Requirements and design. Finalize scope with stakeholders, produce a technical design doc, and identify the security review requirements early so they don't become a late bottleneck.
Step 2 — Weeks 2-4: Core build. Engineering team splits work — one person on backend/data layer, one on frontend, one on integrations/auth. Daily standups to catch scope creep early given the tight timeline.
Step 3 — Week 5: Internal alpha. Tool is functional but not polished; internal team dogfoods it and files bugs. This is also the ideal point to kick off the security review, since the code is stable enough to review but there's still time to fix findings.
Step 4 — Week 6: Bug fixing and security review remediation. Address findings from the security review in parallel with general bug fixes. This week has schedule risk — if the security review surfaces major issues, this is the buffer.
Step 5 — Week 7: Compliance deadline. All compliance-related requirements must be finalized and signed off by end of week 7 — treat this as immovable, and if week 6 remediation runs long, week 7 focuses exclusively on compliance items, deferring non-critical polish to post-launch.
Step 6 — Week 8: Final QA, documentation, and launch. Soft-launch to a limited internal audience first, then full rollout once no blocking issues are found.
Key risk to flag: with only 3 engineers and a hard compliance gate at week 7, there's very little slack if the security review in week 5 surfaces major findings — consider whether the security review can start even earlier, in week 4, using a feature-complete-but-unpolished build.</t>
  </si>
  <si>
    <t xml:space="preserve">multi-constraint planning problem requiring sequencing, risk flagging, and dependency reasoning</t>
  </si>
  <si>
    <t xml:space="preserve">Analyze this business decision from financial, ethical, and operational angles, and give a recommendation: a company is considering laying off 15% of staff to cut costs after two quarters of declining revenue, versus an across-the-board pay cut of 10% for all employees instead.</t>
  </si>
  <si>
    <t xml:space="preserve">**Financial angle:** Layoffs produce immediate, predictable cost reduction and don't require every remaining employee to take a pay cut, which may better protect morale and retention among top performers. However, layoffs also carry one-time costs (severance, potential unemployment insurance impact) that a pay cut avoids, and if revenue recovers, rehiring and retraining costs can erode the savings. A pay cut preserves headcount and institutional knowledge but spreads pain across the whole organization, which can trigger voluntary attrition among your best people, who have other options — ironically often the opposite outcome you want.
**Ethical angle:** Layoffs concentrate harm on a smaller group who lose their entire income, which is more severe for those individuals but affects fewer people overall. A pay cut spreads a smaller harm across everyone, which some view as fairer, though it can also be seen as avoiding a hard decision at the cost of collective financial stress, especially for lower-paid employees for whom even 10% is a significant hit relative to those higher up who can better absorb it.
**Operational angle:** Layoffs reduce capacity immediately, which risks overloading remaining staff and slowing delivery right when the company needs to perform well to reverse the revenue decline. A pay cut preserves capacity and continuity but doesn't address whether the company actually has the right size team for its current revenue reality — it may just delay a harder decision.
**Recommendation:** If the revenue decline appears structural (a real, lasting drop in demand) rather than cyclical, targeted layoffs are usually the more sustainable choice despite the short-term pain, because a pay cut that merely postpones a rightsizing decision often leads to both a pay cut *and* layoffs later. If the decline looks temporary, a time-bound pay cut (e.g., 10% for two quarters with a defined review point) is likely the better option, since it avoids losing capacity and talent you'll need once revenue recovers. Given only two quarters of data here, I'd lean toward a time-bound pay cut with a clear reassessment date, rather than an immediate permanent layoff.</t>
  </si>
  <si>
    <t xml:space="preserve">three-angle analysis plus synthesis into one recommendation</t>
  </si>
  <si>
    <t xml:space="preserve">Break down this math proof into clear steps with explanations: prove that the square root of 2 is irrational.</t>
  </si>
  <si>
    <t xml:space="preserve">Step 1 — Setup: We use proof by contradiction. Assume the square root of 2 *is* rational. That means it can be written as a fraction a/b, where a and b are integers with no common factors (the fraction is fully reduced) and b is not zero.
Step 2 — Square both sides: If sqrt(2) = a/b, then 2 = a^2/b^2, which rearranges to a^2 = 2b^2.
Step 3 — Deduce a is even: Since a^2 = 2b^2, a^2 is even (it's 2 times something). If a^2 is even, then a itself must be even too — an odd number squared is always odd, so only an even number squared gives an even result.
Step 4 — Substitute: Since a is even, write a = 2k for some integer k. Substituting into a^2 = 2b^2 gives (2k)^2 = 2b^2, which simplifies to 4k^2 = 2b^2, and then to 2k^2 = b^2.
Step 5 — Deduce b is also even: By the same logic as step 3, since b^2 = 2k^2 is even, b must also be even.
Step 6 — Contradiction: We now have both a and b even, meaning they share a common factor of 2. But we started by assuming a/b was fully reduced with no common factors — a direct contradiction.
Conclusion: Since assuming sqrt(2) is rational leads to a contradiction, the assumption must be false. Therefore, the square root of 2 is irrational.</t>
  </si>
  <si>
    <t xml:space="preserve">formal proof with numbered logical steps, each requiring justification</t>
  </si>
  <si>
    <t xml:space="preserve">Work through this optimization problem step by step: a rectangular garden must have an area of 200 square meters, and the owner wants to minimize the amount of fencing used. Find the dimensions that minimize the perimeter.</t>
  </si>
  <si>
    <t xml:space="preserve">Step 1 — Set up variables. Let the length be L and width be W. The area constraint gives us L * W = 200.
Step 2 — Write the objective function. Perimeter P = 2L + 2W. We want to minimize this subject to the area constraint.
Step 3 — Reduce to one variable. From the constraint, W = 200/L. Substitute into the perimeter formula: P = 2L + 2(200/L) = 2L + 400/L.
Step 4 — Take the derivative. dP/dL = 2 - 400/L^2.
Step 5 — Set the derivative to zero to find critical points. 2 - 400/L^2 = 0, so 400/L^2 = 2, which gives L^2 = 200, so L = sqrt(200) ≈ 14.14 meters.
Step 6 — Find W using the constraint. W = 200/L = 200/14.14 ≈ 14.14 meters.
Step 7 — Verify it's a minimum. The second derivative, d^2P/dL^2 = 800/L^3, is positive for L &gt; 0, confirming this critical point is indeed a minimum, not a maximum.
Conclusion: The perimeter is minimized when the garden is a square, approximately 14.14 meters by 14.14 meters, giving a minimum perimeter of about 56.57 meters. This makes intuitive sense — for a fixed area, a square always minimizes perimeter among rectangles.</t>
  </si>
  <si>
    <t xml:space="preserve">calculus-based optimization requiring derivative steps and a verification check</t>
  </si>
  <si>
    <t xml:space="preserve"># Prompts</t>
  </si>
  <si>
    <t xml:space="preserve">Avg Input Tokens</t>
  </si>
  <si>
    <t xml:space="preserve">Avg Output Tokens</t>
  </si>
  <si>
    <t xml:space="preserve">Avg Total Tokens</t>
  </si>
  <si>
    <t xml:space="preserve">Output Share %</t>
  </si>
  <si>
    <t xml:space="preserve">Overall (all categories)</t>
  </si>
  <si>
    <t xml:space="preserve">Total tokens, whole dataset</t>
  </si>
  <si>
    <t xml:space="preserve">Taxonomy of AI Prompts — Token Usage by Category</t>
  </si>
  <si>
    <t xml:space="preserve">Purpose</t>
  </si>
  <si>
    <t xml:space="preserve">Categorize prompt/task types by total token usage (input + output) to identify where cost is concentrated, and what specifically drives high usage within each category, in order to inform cost-optimization decisions.</t>
  </si>
  <si>
    <t xml:space="preserve">Dataset</t>
  </si>
  <si>
    <t xml:space="preserve">60 synthetic prompt/response pairs across 10 task categories, built with deliberate length variation within each category (short/medium/long variants) so both cross-category and within-category drivers are visible. This is a starter dataset for methodology validation — swap in real prompts and responses from your own logs, and the token estimates and tiers will recalculate automatically.</t>
  </si>
  <si>
    <t xml:space="preserve">Token estimation method</t>
  </si>
  <si>
    <t xml:space="preserve">Tokens are estimated as text length in characters / 4, rounded — a standard, widely-used approximation for English text and code (roughly accurate to +/-10-15%). This environment did not have API/network access to compute exact tokenizer counts, so treat these as directional estimates, sufficient for ranking categories relative to each other. For exact counts against your real prompts, see 'Getting exact token counts' below.</t>
  </si>
  <si>
    <t xml:space="preserve">Tier definitions</t>
  </si>
  <si>
    <t xml:space="preserve">Low: under 100 estimated total tokens  |  Medium: 100-249 tokens  |  High: 250+ tokens. Thresholds were chosen from the observed spread in this dataset — revisit them once real usage data is in, since your actual distribution may shift the natural breakpoints.</t>
  </si>
  <si>
    <t xml:space="preserve">Getting exact token counts (recommended next step)</t>
  </si>
  <si>
    <t xml:space="preserve">1) Anthropic Console / Workbench — paste a prompt and it shows exact token counts before you run it.</t>
  </si>
  <si>
    <t xml:space="preserve">2) API responses — every Claude API call returns usage.input_tokens and usage.output_tokens on the response object; logging these for real traffic is the most accurate long-term approach.</t>
  </si>
  <si>
    <t xml:space="preserve">3) count_tokens endpoint — the Messages Token Counting API returns exact input token counts for a prompt without generating a response, useful for pre-flight estimation.</t>
  </si>
  <si>
    <t xml:space="preserve">4) Local tokenizers — libraries such as tiktoken (OpenAI) approximate well for rough estimation when no API access is available, though they are not identical to Claude's tokenizer.</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</si>
</sst>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name val="Noto Sans CJK SC"/>
      <family val="2"/>
    </font>
    <font>
      <b val="true"/>
      <sz val="1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name val="Arial"/>
      <family val="0"/>
      <charset val="1"/>
    </font>
    <font>
      <b val="true"/>
      <sz val="12"/>
      <name val="Arial"/>
      <family val="0"/>
      <charset val="1"/>
    </font>
  </fonts>
  <fills count="6">
    <fill>
      <patternFill patternType="none"/>
    </fill>
    <fill>
      <patternFill patternType="gray125"/>
    </fill>
    <fill>
      <patternFill patternType="solid">
        <fgColor rgb="FF1F4E5F"/>
        <bgColor rgb="FF333333"/>
      </patternFill>
    </fill>
    <fill>
      <patternFill patternType="solid">
        <fgColor rgb="FFC6EFCE"/>
        <bgColor rgb="FFD9D9D9"/>
      </patternFill>
    </fill>
    <fill>
      <patternFill patternType="solid">
        <fgColor rgb="FFFFEB9C"/>
        <bgColor rgb="FFD9D9D9"/>
      </patternFill>
    </fill>
    <fill>
      <patternFill patternType="solid">
        <fgColor rgb="FFFFC7CE"/>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4F81BD"/>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Total Tokens by Category</a:t>
            </a:r>
          </a:p>
        </c:rich>
      </c:tx>
      <c:overlay val="0"/>
      <c:spPr>
        <a:noFill/>
        <a:ln w="0">
          <a:noFill/>
        </a:ln>
      </c:spPr>
    </c:title>
    <c:autoTitleDeleted val="0"/>
    <c:plotArea>
      <c:barChart>
        <c:barDir val="col"/>
        <c:grouping val="clustered"/>
        <c:varyColors val="0"/>
        <c:ser>
          <c:idx val="0"/>
          <c:order val="0"/>
          <c:tx>
            <c:strRef>
              <c:f>'Category Summary'!E1</c:f>
              <c:strCache>
                <c:ptCount val="1"/>
                <c:pt idx="0">
                  <c:v>Avg Total Tokens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'Category Summary'!$A$2:$A$11</c:f>
              <c:strCache>
                <c:ptCount val="10"/>
                <c:pt idx="0">
                  <c:v>Summarization</c:v>
                </c:pt>
                <c:pt idx="1">
                  <c:v>Multi-Step Reasoning</c:v>
                </c:pt>
                <c:pt idx="2">
                  <c:v>Document/Data Analysis</c:v>
                </c:pt>
                <c:pt idx="3">
                  <c:v>Long-Form Creative Writing</c:v>
                </c:pt>
                <c:pt idx="4">
                  <c:v>Code Generation</c:v>
                </c:pt>
                <c:pt idx="5">
                  <c:v>Code Debugging &amp; Explanation</c:v>
                </c:pt>
                <c:pt idx="6">
                  <c:v>Translation</c:v>
                </c:pt>
                <c:pt idx="7">
                  <c:v>Definitions &amp; Short Explanations</c:v>
                </c:pt>
                <c:pt idx="8">
                  <c:v>Casual Conversation</c:v>
                </c:pt>
                <c:pt idx="9">
                  <c:v>Quick Factual Lookup</c:v>
                </c:pt>
              </c:strCache>
            </c:strRef>
          </c:cat>
          <c:val>
            <c:numRef>
              <c:f>'Category Summary'!$E$2:$E$11</c:f>
              <c:numCache>
                <c:formatCode>General</c:formatCode>
                <c:ptCount val="10"/>
                <c:pt idx="0">
                  <c:v>393.2</c:v>
                </c:pt>
                <c:pt idx="1">
                  <c:v>348.8</c:v>
                </c:pt>
                <c:pt idx="2">
                  <c:v>298.3</c:v>
                </c:pt>
                <c:pt idx="3">
                  <c:v>256.9</c:v>
                </c:pt>
                <c:pt idx="4">
                  <c:v>253.6</c:v>
                </c:pt>
                <c:pt idx="5">
                  <c:v>217.8</c:v>
                </c:pt>
                <c:pt idx="6">
                  <c:v>125.6</c:v>
                </c:pt>
                <c:pt idx="7">
                  <c:v>87.5</c:v>
                </c:pt>
                <c:pt idx="8">
                  <c:v>50.4</c:v>
                </c:pt>
                <c:pt idx="9">
                  <c:v>27.8</c:v>
                </c:pt>
              </c:numCache>
            </c:numRef>
          </c:val>
        </c:ser>
        <c:gapWidth val="150"/>
        <c:overlap val="0"/>
        <c:axId val="40202142"/>
        <c:axId val="2295829"/>
      </c:barChart>
      <c:catAx>
        <c:axId val="4020214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Category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95829"/>
        <c:crosses val="autoZero"/>
        <c:auto val="1"/>
        <c:lblAlgn val="ctr"/>
        <c:lblOffset val="100"/>
        <c:noMultiLvlLbl val="0"/>
      </c:catAx>
      <c:valAx>
        <c:axId val="229582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Estimated Tokens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20214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15</xdr:row>
      <xdr:rowOff>0</xdr:rowOff>
    </xdr:from>
    <xdr:to>
      <xdr:col>8</xdr:col>
      <xdr:colOff>63360</xdr:colOff>
      <xdr:row>35</xdr:row>
      <xdr:rowOff>149760</xdr:rowOff>
    </xdr:to>
    <xdr:graphicFrame>
      <xdr:nvGraphicFramePr>
        <xdr:cNvPr id="0" name="Chart 1"/>
        <xdr:cNvGraphicFramePr/>
      </xdr:nvGraphicFramePr>
      <xdr:xfrm>
        <a:off x="0" y="2857680"/>
        <a:ext cx="863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6"/>
    <col collapsed="false" customWidth="true" hidden="false" outlineLevel="0" max="4" min="4" style="0" width="55"/>
    <col collapsed="false" customWidth="true" hidden="false" outlineLevel="0" max="7" min="5" style="0" width="14"/>
    <col collapsed="false" customWidth="true" hidden="false" outlineLevel="0" max="8" min="8" style="0" width="10"/>
    <col collapsed="false" customWidth="true" hidden="false" outlineLevel="0" max="9" min="9" style="0" width="40"/>
  </cols>
  <sheetData>
    <row r="1" customFormat="false" ht="15" hidden="false" customHeight="false" outlineLevel="0" collapsed="false">
      <c r="A1" s="1" t="s">
        <v>0</v>
      </c>
      <c r="B1" s="1" t="s">
        <v>1</v>
      </c>
      <c r="C1" s="1" t="s">
        <v>2</v>
      </c>
      <c r="D1" s="1" t="s">
        <v>3</v>
      </c>
      <c r="E1" s="1" t="s">
        <v>4</v>
      </c>
      <c r="F1" s="1" t="s">
        <v>5</v>
      </c>
      <c r="G1" s="1" t="s">
        <v>6</v>
      </c>
      <c r="H1" s="1" t="s">
        <v>7</v>
      </c>
      <c r="I1" s="1" t="s">
        <v>8</v>
      </c>
    </row>
    <row r="2" customFormat="false" ht="60" hidden="false" customHeight="true" outlineLevel="0" collapsed="false">
      <c r="A2" s="2" t="n">
        <v>1</v>
      </c>
      <c r="B2" s="3" t="s">
        <v>9</v>
      </c>
      <c r="C2" s="4" t="s">
        <v>10</v>
      </c>
      <c r="D2" s="4" t="s">
        <v>11</v>
      </c>
      <c r="E2" s="2" t="n">
        <f aca="false">ROUND(LEN(C2)/4,0)</f>
        <v>7</v>
      </c>
      <c r="F2" s="2" t="n">
        <f aca="false">ROUND(LEN(D2)/4,0)</f>
        <v>8</v>
      </c>
      <c r="G2" s="2" t="n">
        <f aca="false">E2+F2</f>
        <v>15</v>
      </c>
      <c r="H2" s="5" t="str">
        <f aca="false">IF(G2&lt;100,"Low",IF(G2&lt;250,"Medium","High"))</f>
        <v>Low</v>
      </c>
      <c r="I2" s="4" t="s">
        <v>12</v>
      </c>
    </row>
    <row r="3" customFormat="false" ht="60" hidden="false" customHeight="true" outlineLevel="0" collapsed="false">
      <c r="A3" s="2" t="n">
        <v>2</v>
      </c>
      <c r="B3" s="3" t="s">
        <v>9</v>
      </c>
      <c r="C3" s="4" t="s">
        <v>13</v>
      </c>
      <c r="D3" s="4" t="s">
        <v>14</v>
      </c>
      <c r="E3" s="2" t="n">
        <f aca="false">ROUND(LEN(C3)/4,0)</f>
        <v>8</v>
      </c>
      <c r="F3" s="2" t="n">
        <f aca="false">ROUND(LEN(D3)/4,0)</f>
        <v>7</v>
      </c>
      <c r="G3" s="2" t="n">
        <f aca="false">E3+F3</f>
        <v>15</v>
      </c>
      <c r="H3" s="5" t="str">
        <f aca="false">IF(G3&lt;100,"Low",IF(G3&lt;250,"Medium","High"))</f>
        <v>Low</v>
      </c>
      <c r="I3" s="4" t="s">
        <v>15</v>
      </c>
    </row>
    <row r="4" customFormat="false" ht="60" hidden="false" customHeight="true" outlineLevel="0" collapsed="false">
      <c r="A4" s="2" t="n">
        <v>3</v>
      </c>
      <c r="B4" s="3" t="s">
        <v>9</v>
      </c>
      <c r="C4" s="4" t="s">
        <v>16</v>
      </c>
      <c r="D4" s="4" t="s">
        <v>17</v>
      </c>
      <c r="E4" s="2" t="n">
        <f aca="false">ROUND(LEN(C4)/4,0)</f>
        <v>8</v>
      </c>
      <c r="F4" s="2" t="n">
        <f aca="false">ROUND(LEN(D4)/4,0)</f>
        <v>27</v>
      </c>
      <c r="G4" s="2" t="n">
        <f aca="false">E4+F4</f>
        <v>35</v>
      </c>
      <c r="H4" s="5" t="str">
        <f aca="false">IF(G4&lt;100,"Low",IF(G4&lt;250,"Medium","High"))</f>
        <v>Low</v>
      </c>
      <c r="I4" s="4" t="s">
        <v>18</v>
      </c>
    </row>
    <row r="5" customFormat="false" ht="60" hidden="false" customHeight="true" outlineLevel="0" collapsed="false">
      <c r="A5" s="2" t="n">
        <v>4</v>
      </c>
      <c r="B5" s="3" t="s">
        <v>9</v>
      </c>
      <c r="C5" s="4" t="s">
        <v>19</v>
      </c>
      <c r="D5" s="4" t="s">
        <v>20</v>
      </c>
      <c r="E5" s="2" t="n">
        <f aca="false">ROUND(LEN(C5)/4,0)</f>
        <v>15</v>
      </c>
      <c r="F5" s="2" t="n">
        <f aca="false">ROUND(LEN(D5)/4,0)</f>
        <v>26</v>
      </c>
      <c r="G5" s="2" t="n">
        <f aca="false">E5+F5</f>
        <v>41</v>
      </c>
      <c r="H5" s="5" t="str">
        <f aca="false">IF(G5&lt;100,"Low",IF(G5&lt;250,"Medium","High"))</f>
        <v>Low</v>
      </c>
      <c r="I5" s="4" t="s">
        <v>21</v>
      </c>
    </row>
    <row r="6" customFormat="false" ht="60" hidden="false" customHeight="true" outlineLevel="0" collapsed="false">
      <c r="A6" s="2" t="n">
        <v>5</v>
      </c>
      <c r="B6" s="3" t="s">
        <v>9</v>
      </c>
      <c r="C6" s="4" t="s">
        <v>22</v>
      </c>
      <c r="D6" s="4" t="s">
        <v>23</v>
      </c>
      <c r="E6" s="2" t="n">
        <f aca="false">ROUND(LEN(C6)/4,0)</f>
        <v>9</v>
      </c>
      <c r="F6" s="2" t="n">
        <f aca="false">ROUND(LEN(D6)/4,0)</f>
        <v>27</v>
      </c>
      <c r="G6" s="2" t="n">
        <f aca="false">E6+F6</f>
        <v>36</v>
      </c>
      <c r="H6" s="5" t="str">
        <f aca="false">IF(G6&lt;100,"Low",IF(G6&lt;250,"Medium","High"))</f>
        <v>Low</v>
      </c>
      <c r="I6" s="4" t="s">
        <v>24</v>
      </c>
    </row>
    <row r="7" customFormat="false" ht="60" hidden="false" customHeight="true" outlineLevel="0" collapsed="false">
      <c r="A7" s="2" t="n">
        <v>6</v>
      </c>
      <c r="B7" s="3" t="s">
        <v>9</v>
      </c>
      <c r="C7" s="4" t="s">
        <v>25</v>
      </c>
      <c r="D7" s="4" t="s">
        <v>26</v>
      </c>
      <c r="E7" s="2" t="n">
        <f aca="false">ROUND(LEN(C7)/4,0)</f>
        <v>9</v>
      </c>
      <c r="F7" s="2" t="n">
        <f aca="false">ROUND(LEN(D7)/4,0)</f>
        <v>16</v>
      </c>
      <c r="G7" s="2" t="n">
        <f aca="false">E7+F7</f>
        <v>25</v>
      </c>
      <c r="H7" s="5" t="str">
        <f aca="false">IF(G7&lt;100,"Low",IF(G7&lt;250,"Medium","High"))</f>
        <v>Low</v>
      </c>
      <c r="I7" s="4" t="s">
        <v>27</v>
      </c>
    </row>
    <row r="8" customFormat="false" ht="60" hidden="false" customHeight="true" outlineLevel="0" collapsed="false">
      <c r="A8" s="2" t="n">
        <v>7</v>
      </c>
      <c r="B8" s="3" t="s">
        <v>28</v>
      </c>
      <c r="C8" s="4" t="s">
        <v>29</v>
      </c>
      <c r="D8" s="4" t="s">
        <v>30</v>
      </c>
      <c r="E8" s="2" t="n">
        <f aca="false">ROUND(LEN(C8)/4,0)</f>
        <v>10</v>
      </c>
      <c r="F8" s="2" t="n">
        <f aca="false">ROUND(LEN(D8)/4,0)</f>
        <v>33</v>
      </c>
      <c r="G8" s="2" t="n">
        <f aca="false">E8+F8</f>
        <v>43</v>
      </c>
      <c r="H8" s="5" t="str">
        <f aca="false">IF(G8&lt;100,"Low",IF(G8&lt;250,"Medium","High"))</f>
        <v>Low</v>
      </c>
      <c r="I8" s="4" t="s">
        <v>31</v>
      </c>
    </row>
    <row r="9" customFormat="false" ht="60" hidden="false" customHeight="true" outlineLevel="0" collapsed="false">
      <c r="A9" s="2" t="n">
        <v>8</v>
      </c>
      <c r="B9" s="3" t="s">
        <v>28</v>
      </c>
      <c r="C9" s="4" t="s">
        <v>32</v>
      </c>
      <c r="D9" s="4" t="s">
        <v>33</v>
      </c>
      <c r="E9" s="2" t="n">
        <f aca="false">ROUND(LEN(C9)/4,0)</f>
        <v>10</v>
      </c>
      <c r="F9" s="2" t="n">
        <f aca="false">ROUND(LEN(D9)/4,0)</f>
        <v>43</v>
      </c>
      <c r="G9" s="2" t="n">
        <f aca="false">E9+F9</f>
        <v>53</v>
      </c>
      <c r="H9" s="5" t="str">
        <f aca="false">IF(G9&lt;100,"Low",IF(G9&lt;250,"Medium","High"))</f>
        <v>Low</v>
      </c>
      <c r="I9" s="4" t="s">
        <v>34</v>
      </c>
    </row>
    <row r="10" customFormat="false" ht="60" hidden="false" customHeight="true" outlineLevel="0" collapsed="false">
      <c r="A10" s="2" t="n">
        <v>9</v>
      </c>
      <c r="B10" s="3" t="s">
        <v>28</v>
      </c>
      <c r="C10" s="4" t="s">
        <v>35</v>
      </c>
      <c r="D10" s="4" t="s">
        <v>36</v>
      </c>
      <c r="E10" s="2" t="n">
        <f aca="false">ROUND(LEN(C10)/4,0)</f>
        <v>14</v>
      </c>
      <c r="F10" s="2" t="n">
        <f aca="false">ROUND(LEN(D10)/4,0)</f>
        <v>73</v>
      </c>
      <c r="G10" s="2" t="n">
        <f aca="false">E10+F10</f>
        <v>87</v>
      </c>
      <c r="H10" s="5" t="str">
        <f aca="false">IF(G10&lt;100,"Low",IF(G10&lt;250,"Medium","High"))</f>
        <v>Low</v>
      </c>
      <c r="I10" s="4" t="s">
        <v>37</v>
      </c>
    </row>
    <row r="11" customFormat="false" ht="60" hidden="false" customHeight="true" outlineLevel="0" collapsed="false">
      <c r="A11" s="2" t="n">
        <v>10</v>
      </c>
      <c r="B11" s="3" t="s">
        <v>28</v>
      </c>
      <c r="C11" s="4" t="s">
        <v>38</v>
      </c>
      <c r="D11" s="4" t="s">
        <v>39</v>
      </c>
      <c r="E11" s="2" t="n">
        <f aca="false">ROUND(LEN(C11)/4,0)</f>
        <v>12</v>
      </c>
      <c r="F11" s="2" t="n">
        <f aca="false">ROUND(LEN(D11)/4,0)</f>
        <v>90</v>
      </c>
      <c r="G11" s="2" t="n">
        <f aca="false">E11+F11</f>
        <v>102</v>
      </c>
      <c r="H11" s="6" t="str">
        <f aca="false">IF(G11&lt;100,"Low",IF(G11&lt;250,"Medium","High"))</f>
        <v>Medium</v>
      </c>
      <c r="I11" s="4" t="s">
        <v>40</v>
      </c>
    </row>
    <row r="12" customFormat="false" ht="60" hidden="false" customHeight="true" outlineLevel="0" collapsed="false">
      <c r="A12" s="2" t="n">
        <v>11</v>
      </c>
      <c r="B12" s="3" t="s">
        <v>28</v>
      </c>
      <c r="C12" s="4" t="s">
        <v>41</v>
      </c>
      <c r="D12" s="4" t="s">
        <v>42</v>
      </c>
      <c r="E12" s="2" t="n">
        <f aca="false">ROUND(LEN(C12)/4,0)</f>
        <v>10</v>
      </c>
      <c r="F12" s="2" t="n">
        <f aca="false">ROUND(LEN(D12)/4,0)</f>
        <v>126</v>
      </c>
      <c r="G12" s="2" t="n">
        <f aca="false">E12+F12</f>
        <v>136</v>
      </c>
      <c r="H12" s="6" t="str">
        <f aca="false">IF(G12&lt;100,"Low",IF(G12&lt;250,"Medium","High"))</f>
        <v>Medium</v>
      </c>
      <c r="I12" s="4" t="s">
        <v>43</v>
      </c>
    </row>
    <row r="13" customFormat="false" ht="60" hidden="false" customHeight="true" outlineLevel="0" collapsed="false">
      <c r="A13" s="2" t="n">
        <v>12</v>
      </c>
      <c r="B13" s="3" t="s">
        <v>28</v>
      </c>
      <c r="C13" s="4" t="s">
        <v>44</v>
      </c>
      <c r="D13" s="4" t="s">
        <v>45</v>
      </c>
      <c r="E13" s="2" t="n">
        <f aca="false">ROUND(LEN(C13)/4,0)</f>
        <v>12</v>
      </c>
      <c r="F13" s="2" t="n">
        <f aca="false">ROUND(LEN(D13)/4,0)</f>
        <v>92</v>
      </c>
      <c r="G13" s="2" t="n">
        <f aca="false">E13+F13</f>
        <v>104</v>
      </c>
      <c r="H13" s="6" t="str">
        <f aca="false">IF(G13&lt;100,"Low",IF(G13&lt;250,"Medium","High"))</f>
        <v>Medium</v>
      </c>
      <c r="I13" s="4" t="s">
        <v>46</v>
      </c>
    </row>
    <row r="14" customFormat="false" ht="60" hidden="false" customHeight="true" outlineLevel="0" collapsed="false">
      <c r="A14" s="2" t="n">
        <v>13</v>
      </c>
      <c r="B14" s="3" t="s">
        <v>47</v>
      </c>
      <c r="C14" s="4" t="s">
        <v>48</v>
      </c>
      <c r="D14" s="4" t="s">
        <v>49</v>
      </c>
      <c r="E14" s="2" t="n">
        <f aca="false">ROUND(LEN(C14)/4,0)</f>
        <v>13</v>
      </c>
      <c r="F14" s="2" t="n">
        <f aca="false">ROUND(LEN(D14)/4,0)</f>
        <v>7</v>
      </c>
      <c r="G14" s="2" t="n">
        <f aca="false">E14+F14</f>
        <v>20</v>
      </c>
      <c r="H14" s="5" t="str">
        <f aca="false">IF(G14&lt;100,"Low",IF(G14&lt;250,"Medium","High"))</f>
        <v>Low</v>
      </c>
      <c r="I14" s="4" t="s">
        <v>50</v>
      </c>
    </row>
    <row r="15" customFormat="false" ht="60" hidden="false" customHeight="true" outlineLevel="0" collapsed="false">
      <c r="A15" s="2" t="n">
        <v>14</v>
      </c>
      <c r="B15" s="3" t="s">
        <v>47</v>
      </c>
      <c r="C15" s="4" t="s">
        <v>51</v>
      </c>
      <c r="D15" s="7" t="s">
        <v>52</v>
      </c>
      <c r="E15" s="2" t="n">
        <f aca="false">ROUND(LEN(C15)/4,0)</f>
        <v>14</v>
      </c>
      <c r="F15" s="2" t="n">
        <f aca="false">ROUND(LEN(D15)/4,0)</f>
        <v>14</v>
      </c>
      <c r="G15" s="2" t="n">
        <f aca="false">E15+F15</f>
        <v>28</v>
      </c>
      <c r="H15" s="5" t="str">
        <f aca="false">IF(G15&lt;100,"Low",IF(G15&lt;250,"Medium","High"))</f>
        <v>Low</v>
      </c>
      <c r="I15" s="4" t="s">
        <v>53</v>
      </c>
    </row>
    <row r="16" customFormat="false" ht="60" hidden="false" customHeight="true" outlineLevel="0" collapsed="false">
      <c r="A16" s="2" t="n">
        <v>15</v>
      </c>
      <c r="B16" s="3" t="s">
        <v>47</v>
      </c>
      <c r="C16" s="4" t="s">
        <v>54</v>
      </c>
      <c r="D16" s="4" t="s">
        <v>55</v>
      </c>
      <c r="E16" s="2" t="n">
        <f aca="false">ROUND(LEN(C16)/4,0)</f>
        <v>67</v>
      </c>
      <c r="F16" s="2" t="n">
        <f aca="false">ROUND(LEN(D16)/4,0)</f>
        <v>75</v>
      </c>
      <c r="G16" s="2" t="n">
        <f aca="false">E16+F16</f>
        <v>142</v>
      </c>
      <c r="H16" s="6" t="str">
        <f aca="false">IF(G16&lt;100,"Low",IF(G16&lt;250,"Medium","High"))</f>
        <v>Medium</v>
      </c>
      <c r="I16" s="4" t="s">
        <v>56</v>
      </c>
    </row>
    <row r="17" customFormat="false" ht="60" hidden="false" customHeight="true" outlineLevel="0" collapsed="false">
      <c r="A17" s="2" t="n">
        <v>16</v>
      </c>
      <c r="B17" s="3" t="s">
        <v>47</v>
      </c>
      <c r="C17" s="4" t="s">
        <v>57</v>
      </c>
      <c r="D17" s="4" t="s">
        <v>58</v>
      </c>
      <c r="E17" s="2" t="n">
        <f aca="false">ROUND(LEN(C17)/4,0)</f>
        <v>42</v>
      </c>
      <c r="F17" s="2" t="n">
        <f aca="false">ROUND(LEN(D17)/4,0)</f>
        <v>38</v>
      </c>
      <c r="G17" s="2" t="n">
        <f aca="false">E17+F17</f>
        <v>80</v>
      </c>
      <c r="H17" s="5" t="str">
        <f aca="false">IF(G17&lt;100,"Low",IF(G17&lt;250,"Medium","High"))</f>
        <v>Low</v>
      </c>
      <c r="I17" s="4" t="s">
        <v>59</v>
      </c>
    </row>
    <row r="18" customFormat="false" ht="60" hidden="false" customHeight="true" outlineLevel="0" collapsed="false">
      <c r="A18" s="2" t="n">
        <v>17</v>
      </c>
      <c r="B18" s="3" t="s">
        <v>47</v>
      </c>
      <c r="C18" s="4" t="s">
        <v>60</v>
      </c>
      <c r="D18" s="4" t="s">
        <v>61</v>
      </c>
      <c r="E18" s="2" t="n">
        <f aca="false">ROUND(LEN(C18)/4,0)</f>
        <v>161</v>
      </c>
      <c r="F18" s="2" t="n">
        <f aca="false">ROUND(LEN(D18)/4,0)</f>
        <v>162</v>
      </c>
      <c r="G18" s="2" t="n">
        <f aca="false">E18+F18</f>
        <v>323</v>
      </c>
      <c r="H18" s="8" t="str">
        <f aca="false">IF(G18&lt;100,"Low",IF(G18&lt;250,"Medium","High"))</f>
        <v>High</v>
      </c>
      <c r="I18" s="4" t="s">
        <v>62</v>
      </c>
    </row>
    <row r="19" customFormat="false" ht="60" hidden="false" customHeight="true" outlineLevel="0" collapsed="false">
      <c r="A19" s="2" t="n">
        <v>18</v>
      </c>
      <c r="B19" s="3" t="s">
        <v>47</v>
      </c>
      <c r="C19" s="4" t="s">
        <v>63</v>
      </c>
      <c r="D19" s="7" t="s">
        <v>64</v>
      </c>
      <c r="E19" s="2" t="n">
        <f aca="false">ROUND(LEN(C19)/4,0)</f>
        <v>131</v>
      </c>
      <c r="F19" s="2" t="n">
        <f aca="false">ROUND(LEN(D19)/4,0)</f>
        <v>30</v>
      </c>
      <c r="G19" s="2" t="n">
        <f aca="false">E19+F19</f>
        <v>161</v>
      </c>
      <c r="H19" s="6" t="str">
        <f aca="false">IF(G19&lt;100,"Low",IF(G19&lt;250,"Medium","High"))</f>
        <v>Medium</v>
      </c>
      <c r="I19" s="4" t="s">
        <v>65</v>
      </c>
    </row>
    <row r="20" customFormat="false" ht="60" hidden="false" customHeight="true" outlineLevel="0" collapsed="false">
      <c r="A20" s="2" t="n">
        <v>19</v>
      </c>
      <c r="B20" s="3" t="s">
        <v>66</v>
      </c>
      <c r="C20" s="4" t="s">
        <v>67</v>
      </c>
      <c r="D20" s="4" t="s">
        <v>68</v>
      </c>
      <c r="E20" s="2" t="n">
        <f aca="false">ROUND(LEN(C20)/4,0)</f>
        <v>5</v>
      </c>
      <c r="F20" s="2" t="n">
        <f aca="false">ROUND(LEN(D20)/4,0)</f>
        <v>14</v>
      </c>
      <c r="G20" s="2" t="n">
        <f aca="false">E20+F20</f>
        <v>19</v>
      </c>
      <c r="H20" s="5" t="str">
        <f aca="false">IF(G20&lt;100,"Low",IF(G20&lt;250,"Medium","High"))</f>
        <v>Low</v>
      </c>
      <c r="I20" s="4" t="s">
        <v>69</v>
      </c>
    </row>
    <row r="21" customFormat="false" ht="60" hidden="false" customHeight="true" outlineLevel="0" collapsed="false">
      <c r="A21" s="2" t="n">
        <v>20</v>
      </c>
      <c r="B21" s="3" t="s">
        <v>66</v>
      </c>
      <c r="C21" s="4" t="s">
        <v>70</v>
      </c>
      <c r="D21" s="4" t="s">
        <v>71</v>
      </c>
      <c r="E21" s="2" t="n">
        <f aca="false">ROUND(LEN(C21)/4,0)</f>
        <v>4</v>
      </c>
      <c r="F21" s="2" t="n">
        <f aca="false">ROUND(LEN(D21)/4,0)</f>
        <v>17</v>
      </c>
      <c r="G21" s="2" t="n">
        <f aca="false">E21+F21</f>
        <v>21</v>
      </c>
      <c r="H21" s="5" t="str">
        <f aca="false">IF(G21&lt;100,"Low",IF(G21&lt;250,"Medium","High"))</f>
        <v>Low</v>
      </c>
      <c r="I21" s="4" t="s">
        <v>72</v>
      </c>
    </row>
    <row r="22" customFormat="false" ht="60" hidden="false" customHeight="true" outlineLevel="0" collapsed="false">
      <c r="A22" s="2" t="n">
        <v>21</v>
      </c>
      <c r="B22" s="3" t="s">
        <v>66</v>
      </c>
      <c r="C22" s="4" t="s">
        <v>73</v>
      </c>
      <c r="D22" s="4" t="s">
        <v>74</v>
      </c>
      <c r="E22" s="2" t="n">
        <f aca="false">ROUND(LEN(C22)/4,0)</f>
        <v>11</v>
      </c>
      <c r="F22" s="2" t="n">
        <f aca="false">ROUND(LEN(D22)/4,0)</f>
        <v>49</v>
      </c>
      <c r="G22" s="2" t="n">
        <f aca="false">E22+F22</f>
        <v>60</v>
      </c>
      <c r="H22" s="5" t="str">
        <f aca="false">IF(G22&lt;100,"Low",IF(G22&lt;250,"Medium","High"))</f>
        <v>Low</v>
      </c>
      <c r="I22" s="4" t="s">
        <v>75</v>
      </c>
    </row>
    <row r="23" customFormat="false" ht="60" hidden="false" customHeight="true" outlineLevel="0" collapsed="false">
      <c r="A23" s="2" t="n">
        <v>22</v>
      </c>
      <c r="B23" s="3" t="s">
        <v>66</v>
      </c>
      <c r="C23" s="4" t="s">
        <v>76</v>
      </c>
      <c r="D23" s="4" t="s">
        <v>77</v>
      </c>
      <c r="E23" s="2" t="n">
        <f aca="false">ROUND(LEN(C23)/4,0)</f>
        <v>10</v>
      </c>
      <c r="F23" s="2" t="n">
        <f aca="false">ROUND(LEN(D23)/4,0)</f>
        <v>53</v>
      </c>
      <c r="G23" s="2" t="n">
        <f aca="false">E23+F23</f>
        <v>63</v>
      </c>
      <c r="H23" s="5" t="str">
        <f aca="false">IF(G23&lt;100,"Low",IF(G23&lt;250,"Medium","High"))</f>
        <v>Low</v>
      </c>
      <c r="I23" s="4" t="s">
        <v>78</v>
      </c>
    </row>
    <row r="24" customFormat="false" ht="60" hidden="false" customHeight="true" outlineLevel="0" collapsed="false">
      <c r="A24" s="2" t="n">
        <v>23</v>
      </c>
      <c r="B24" s="3" t="s">
        <v>66</v>
      </c>
      <c r="C24" s="4" t="s">
        <v>79</v>
      </c>
      <c r="D24" s="4" t="s">
        <v>80</v>
      </c>
      <c r="E24" s="2" t="n">
        <f aca="false">ROUND(LEN(C24)/4,0)</f>
        <v>10</v>
      </c>
      <c r="F24" s="2" t="n">
        <f aca="false">ROUND(LEN(D24)/4,0)</f>
        <v>58</v>
      </c>
      <c r="G24" s="2" t="n">
        <f aca="false">E24+F24</f>
        <v>68</v>
      </c>
      <c r="H24" s="5" t="str">
        <f aca="false">IF(G24&lt;100,"Low",IF(G24&lt;250,"Medium","High"))</f>
        <v>Low</v>
      </c>
      <c r="I24" s="4" t="s">
        <v>81</v>
      </c>
    </row>
    <row r="25" customFormat="false" ht="60" hidden="false" customHeight="true" outlineLevel="0" collapsed="false">
      <c r="A25" s="2" t="n">
        <v>24</v>
      </c>
      <c r="B25" s="3" t="s">
        <v>66</v>
      </c>
      <c r="C25" s="4" t="s">
        <v>82</v>
      </c>
      <c r="D25" s="4" t="s">
        <v>83</v>
      </c>
      <c r="E25" s="2" t="n">
        <f aca="false">ROUND(LEN(C25)/4,0)</f>
        <v>9</v>
      </c>
      <c r="F25" s="2" t="n">
        <f aca="false">ROUND(LEN(D25)/4,0)</f>
        <v>62</v>
      </c>
      <c r="G25" s="2" t="n">
        <f aca="false">E25+F25</f>
        <v>71</v>
      </c>
      <c r="H25" s="5" t="str">
        <f aca="false">IF(G25&lt;100,"Low",IF(G25&lt;250,"Medium","High"))</f>
        <v>Low</v>
      </c>
      <c r="I25" s="4" t="s">
        <v>84</v>
      </c>
    </row>
    <row r="26" customFormat="false" ht="60" hidden="false" customHeight="true" outlineLevel="0" collapsed="false">
      <c r="A26" s="2" t="n">
        <v>25</v>
      </c>
      <c r="B26" s="3" t="s">
        <v>85</v>
      </c>
      <c r="C26" s="4" t="s">
        <v>86</v>
      </c>
      <c r="D26" s="4" t="s">
        <v>87</v>
      </c>
      <c r="E26" s="2" t="n">
        <f aca="false">ROUND(LEN(C26)/4,0)</f>
        <v>249</v>
      </c>
      <c r="F26" s="2" t="n">
        <f aca="false">ROUND(LEN(D26)/4,0)</f>
        <v>91</v>
      </c>
      <c r="G26" s="2" t="n">
        <f aca="false">E26+F26</f>
        <v>340</v>
      </c>
      <c r="H26" s="8" t="str">
        <f aca="false">IF(G26&lt;100,"Low",IF(G26&lt;250,"Medium","High"))</f>
        <v>High</v>
      </c>
      <c r="I26" s="4" t="s">
        <v>88</v>
      </c>
    </row>
    <row r="27" customFormat="false" ht="60" hidden="false" customHeight="true" outlineLevel="0" collapsed="false">
      <c r="A27" s="2" t="n">
        <v>26</v>
      </c>
      <c r="B27" s="3" t="s">
        <v>85</v>
      </c>
      <c r="C27" s="4" t="s">
        <v>89</v>
      </c>
      <c r="D27" s="4" t="s">
        <v>90</v>
      </c>
      <c r="E27" s="2" t="n">
        <f aca="false">ROUND(LEN(C27)/4,0)</f>
        <v>225</v>
      </c>
      <c r="F27" s="2" t="n">
        <f aca="false">ROUND(LEN(D27)/4,0)</f>
        <v>100</v>
      </c>
      <c r="G27" s="2" t="n">
        <f aca="false">E27+F27</f>
        <v>325</v>
      </c>
      <c r="H27" s="8" t="str">
        <f aca="false">IF(G27&lt;100,"Low",IF(G27&lt;250,"Medium","High"))</f>
        <v>High</v>
      </c>
      <c r="I27" s="4" t="s">
        <v>91</v>
      </c>
    </row>
    <row r="28" customFormat="false" ht="60" hidden="false" customHeight="true" outlineLevel="0" collapsed="false">
      <c r="A28" s="2" t="n">
        <v>27</v>
      </c>
      <c r="B28" s="3" t="s">
        <v>85</v>
      </c>
      <c r="C28" s="4" t="s">
        <v>92</v>
      </c>
      <c r="D28" s="4" t="s">
        <v>93</v>
      </c>
      <c r="E28" s="2" t="n">
        <f aca="false">ROUND(LEN(C28)/4,0)</f>
        <v>303</v>
      </c>
      <c r="F28" s="2" t="n">
        <f aca="false">ROUND(LEN(D28)/4,0)</f>
        <v>116</v>
      </c>
      <c r="G28" s="2" t="n">
        <f aca="false">E28+F28</f>
        <v>419</v>
      </c>
      <c r="H28" s="8" t="str">
        <f aca="false">IF(G28&lt;100,"Low",IF(G28&lt;250,"Medium","High"))</f>
        <v>High</v>
      </c>
      <c r="I28" s="4" t="s">
        <v>94</v>
      </c>
    </row>
    <row r="29" customFormat="false" ht="60" hidden="false" customHeight="true" outlineLevel="0" collapsed="false">
      <c r="A29" s="2" t="n">
        <v>28</v>
      </c>
      <c r="B29" s="3" t="s">
        <v>85</v>
      </c>
      <c r="C29" s="4" t="s">
        <v>95</v>
      </c>
      <c r="D29" s="4" t="s">
        <v>96</v>
      </c>
      <c r="E29" s="2" t="n">
        <f aca="false">ROUND(LEN(C29)/4,0)</f>
        <v>153</v>
      </c>
      <c r="F29" s="2" t="n">
        <f aca="false">ROUND(LEN(D29)/4,0)</f>
        <v>42</v>
      </c>
      <c r="G29" s="2" t="n">
        <f aca="false">E29+F29</f>
        <v>195</v>
      </c>
      <c r="H29" s="6" t="str">
        <f aca="false">IF(G29&lt;100,"Low",IF(G29&lt;250,"Medium","High"))</f>
        <v>Medium</v>
      </c>
      <c r="I29" s="4" t="s">
        <v>97</v>
      </c>
    </row>
    <row r="30" customFormat="false" ht="60" hidden="false" customHeight="true" outlineLevel="0" collapsed="false">
      <c r="A30" s="2" t="n">
        <v>29</v>
      </c>
      <c r="B30" s="3" t="s">
        <v>85</v>
      </c>
      <c r="C30" s="4" t="s">
        <v>98</v>
      </c>
      <c r="D30" s="4" t="s">
        <v>99</v>
      </c>
      <c r="E30" s="2" t="n">
        <f aca="false">ROUND(LEN(C30)/4,0)</f>
        <v>198</v>
      </c>
      <c r="F30" s="2" t="n">
        <f aca="false">ROUND(LEN(D30)/4,0)</f>
        <v>122</v>
      </c>
      <c r="G30" s="2" t="n">
        <f aca="false">E30+F30</f>
        <v>320</v>
      </c>
      <c r="H30" s="8" t="str">
        <f aca="false">IF(G30&lt;100,"Low",IF(G30&lt;250,"Medium","High"))</f>
        <v>High</v>
      </c>
      <c r="I30" s="4" t="s">
        <v>100</v>
      </c>
    </row>
    <row r="31" customFormat="false" ht="60" hidden="false" customHeight="true" outlineLevel="0" collapsed="false">
      <c r="A31" s="2" t="n">
        <v>30</v>
      </c>
      <c r="B31" s="3" t="s">
        <v>85</v>
      </c>
      <c r="C31" s="4" t="s">
        <v>101</v>
      </c>
      <c r="D31" s="4" t="s">
        <v>102</v>
      </c>
      <c r="E31" s="2" t="n">
        <f aca="false">ROUND(LEN(C31)/4,0)</f>
        <v>580</v>
      </c>
      <c r="F31" s="2" t="n">
        <f aca="false">ROUND(LEN(D31)/4,0)</f>
        <v>180</v>
      </c>
      <c r="G31" s="2" t="n">
        <f aca="false">E31+F31</f>
        <v>760</v>
      </c>
      <c r="H31" s="8" t="str">
        <f aca="false">IF(G31&lt;100,"Low",IF(G31&lt;250,"Medium","High"))</f>
        <v>High</v>
      </c>
      <c r="I31" s="4" t="s">
        <v>103</v>
      </c>
    </row>
    <row r="32" customFormat="false" ht="60" hidden="false" customHeight="true" outlineLevel="0" collapsed="false">
      <c r="A32" s="2" t="n">
        <v>31</v>
      </c>
      <c r="B32" s="3" t="s">
        <v>104</v>
      </c>
      <c r="C32" s="4" t="s">
        <v>105</v>
      </c>
      <c r="D32" s="4" t="s">
        <v>106</v>
      </c>
      <c r="E32" s="2" t="n">
        <f aca="false">ROUND(LEN(C32)/4,0)</f>
        <v>11</v>
      </c>
      <c r="F32" s="2" t="n">
        <f aca="false">ROUND(LEN(D32)/4,0)</f>
        <v>17</v>
      </c>
      <c r="G32" s="2" t="n">
        <f aca="false">E32+F32</f>
        <v>28</v>
      </c>
      <c r="H32" s="5" t="str">
        <f aca="false">IF(G32&lt;100,"Low",IF(G32&lt;250,"Medium","High"))</f>
        <v>Low</v>
      </c>
      <c r="I32" s="4" t="s">
        <v>107</v>
      </c>
    </row>
    <row r="33" customFormat="false" ht="60" hidden="false" customHeight="true" outlineLevel="0" collapsed="false">
      <c r="A33" s="2" t="n">
        <v>32</v>
      </c>
      <c r="B33" s="3" t="s">
        <v>104</v>
      </c>
      <c r="C33" s="4" t="s">
        <v>108</v>
      </c>
      <c r="D33" s="4" t="s">
        <v>109</v>
      </c>
      <c r="E33" s="2" t="n">
        <f aca="false">ROUND(LEN(C33)/4,0)</f>
        <v>17</v>
      </c>
      <c r="F33" s="2" t="n">
        <f aca="false">ROUND(LEN(D33)/4,0)</f>
        <v>32</v>
      </c>
      <c r="G33" s="2" t="n">
        <f aca="false">E33+F33</f>
        <v>49</v>
      </c>
      <c r="H33" s="5" t="str">
        <f aca="false">IF(G33&lt;100,"Low",IF(G33&lt;250,"Medium","High"))</f>
        <v>Low</v>
      </c>
      <c r="I33" s="4" t="s">
        <v>110</v>
      </c>
    </row>
    <row r="34" customFormat="false" ht="60" hidden="false" customHeight="true" outlineLevel="0" collapsed="false">
      <c r="A34" s="2" t="n">
        <v>33</v>
      </c>
      <c r="B34" s="3" t="s">
        <v>104</v>
      </c>
      <c r="C34" s="4" t="s">
        <v>111</v>
      </c>
      <c r="D34" s="4" t="s">
        <v>112</v>
      </c>
      <c r="E34" s="2" t="n">
        <f aca="false">ROUND(LEN(C34)/4,0)</f>
        <v>24</v>
      </c>
      <c r="F34" s="2" t="n">
        <f aca="false">ROUND(LEN(D34)/4,0)</f>
        <v>170</v>
      </c>
      <c r="G34" s="2" t="n">
        <f aca="false">E34+F34</f>
        <v>194</v>
      </c>
      <c r="H34" s="6" t="str">
        <f aca="false">IF(G34&lt;100,"Low",IF(G34&lt;250,"Medium","High"))</f>
        <v>Medium</v>
      </c>
      <c r="I34" s="4" t="s">
        <v>113</v>
      </c>
    </row>
    <row r="35" customFormat="false" ht="60" hidden="false" customHeight="true" outlineLevel="0" collapsed="false">
      <c r="A35" s="2" t="n">
        <v>34</v>
      </c>
      <c r="B35" s="3" t="s">
        <v>104</v>
      </c>
      <c r="C35" s="4" t="s">
        <v>114</v>
      </c>
      <c r="D35" s="4" t="s">
        <v>115</v>
      </c>
      <c r="E35" s="2" t="n">
        <f aca="false">ROUND(LEN(C35)/4,0)</f>
        <v>30</v>
      </c>
      <c r="F35" s="2" t="n">
        <f aca="false">ROUND(LEN(D35)/4,0)</f>
        <v>298</v>
      </c>
      <c r="G35" s="2" t="n">
        <f aca="false">E35+F35</f>
        <v>328</v>
      </c>
      <c r="H35" s="8" t="str">
        <f aca="false">IF(G35&lt;100,"Low",IF(G35&lt;250,"Medium","High"))</f>
        <v>High</v>
      </c>
      <c r="I35" s="4" t="s">
        <v>116</v>
      </c>
    </row>
    <row r="36" customFormat="false" ht="60" hidden="false" customHeight="true" outlineLevel="0" collapsed="false">
      <c r="A36" s="2" t="n">
        <v>35</v>
      </c>
      <c r="B36" s="3" t="s">
        <v>104</v>
      </c>
      <c r="C36" s="4" t="s">
        <v>117</v>
      </c>
      <c r="D36" s="4" t="s">
        <v>118</v>
      </c>
      <c r="E36" s="2" t="n">
        <f aca="false">ROUND(LEN(C36)/4,0)</f>
        <v>27</v>
      </c>
      <c r="F36" s="2" t="n">
        <f aca="false">ROUND(LEN(D36)/4,0)</f>
        <v>556</v>
      </c>
      <c r="G36" s="2" t="n">
        <f aca="false">E36+F36</f>
        <v>583</v>
      </c>
      <c r="H36" s="8" t="str">
        <f aca="false">IF(G36&lt;100,"Low",IF(G36&lt;250,"Medium","High"))</f>
        <v>High</v>
      </c>
      <c r="I36" s="4" t="s">
        <v>119</v>
      </c>
    </row>
    <row r="37" customFormat="false" ht="60" hidden="false" customHeight="true" outlineLevel="0" collapsed="false">
      <c r="A37" s="2" t="n">
        <v>36</v>
      </c>
      <c r="B37" s="3" t="s">
        <v>104</v>
      </c>
      <c r="C37" s="4" t="s">
        <v>120</v>
      </c>
      <c r="D37" s="4" t="s">
        <v>121</v>
      </c>
      <c r="E37" s="2" t="n">
        <f aca="false">ROUND(LEN(C37)/4,0)</f>
        <v>25</v>
      </c>
      <c r="F37" s="2" t="n">
        <f aca="false">ROUND(LEN(D37)/4,0)</f>
        <v>315</v>
      </c>
      <c r="G37" s="2" t="n">
        <f aca="false">E37+F37</f>
        <v>340</v>
      </c>
      <c r="H37" s="8" t="str">
        <f aca="false">IF(G37&lt;100,"Low",IF(G37&lt;250,"Medium","High"))</f>
        <v>High</v>
      </c>
      <c r="I37" s="4" t="s">
        <v>122</v>
      </c>
    </row>
    <row r="38" customFormat="false" ht="60" hidden="false" customHeight="true" outlineLevel="0" collapsed="false">
      <c r="A38" s="2" t="n">
        <v>37</v>
      </c>
      <c r="B38" s="3" t="s">
        <v>123</v>
      </c>
      <c r="C38" s="4" t="s">
        <v>124</v>
      </c>
      <c r="D38" s="4" t="s">
        <v>125</v>
      </c>
      <c r="E38" s="2" t="n">
        <f aca="false">ROUND(LEN(C38)/4,0)</f>
        <v>18</v>
      </c>
      <c r="F38" s="2" t="n">
        <f aca="false">ROUND(LEN(D38)/4,0)</f>
        <v>125</v>
      </c>
      <c r="G38" s="2" t="n">
        <f aca="false">E38+F38</f>
        <v>143</v>
      </c>
      <c r="H38" s="6" t="str">
        <f aca="false">IF(G38&lt;100,"Low",IF(G38&lt;250,"Medium","High"))</f>
        <v>Medium</v>
      </c>
      <c r="I38" s="4" t="s">
        <v>126</v>
      </c>
    </row>
    <row r="39" customFormat="false" ht="60" hidden="false" customHeight="true" outlineLevel="0" collapsed="false">
      <c r="A39" s="2" t="n">
        <v>38</v>
      </c>
      <c r="B39" s="3" t="s">
        <v>123</v>
      </c>
      <c r="C39" s="4" t="s">
        <v>127</v>
      </c>
      <c r="D39" s="4" t="s">
        <v>128</v>
      </c>
      <c r="E39" s="2" t="n">
        <f aca="false">ROUND(LEN(C39)/4,0)</f>
        <v>32</v>
      </c>
      <c r="F39" s="2" t="n">
        <f aca="false">ROUND(LEN(D39)/4,0)</f>
        <v>106</v>
      </c>
      <c r="G39" s="2" t="n">
        <f aca="false">E39+F39</f>
        <v>138</v>
      </c>
      <c r="H39" s="6" t="str">
        <f aca="false">IF(G39&lt;100,"Low",IF(G39&lt;250,"Medium","High"))</f>
        <v>Medium</v>
      </c>
      <c r="I39" s="4" t="s">
        <v>129</v>
      </c>
    </row>
    <row r="40" customFormat="false" ht="60" hidden="false" customHeight="true" outlineLevel="0" collapsed="false">
      <c r="A40" s="2" t="n">
        <v>39</v>
      </c>
      <c r="B40" s="3" t="s">
        <v>123</v>
      </c>
      <c r="C40" s="4" t="s">
        <v>130</v>
      </c>
      <c r="D40" s="4" t="s">
        <v>131</v>
      </c>
      <c r="E40" s="2" t="n">
        <f aca="false">ROUND(LEN(C40)/4,0)</f>
        <v>45</v>
      </c>
      <c r="F40" s="2" t="n">
        <f aca="false">ROUND(LEN(D40)/4,0)</f>
        <v>130</v>
      </c>
      <c r="G40" s="2" t="n">
        <f aca="false">E40+F40</f>
        <v>175</v>
      </c>
      <c r="H40" s="6" t="str">
        <f aca="false">IF(G40&lt;100,"Low",IF(G40&lt;250,"Medium","High"))</f>
        <v>Medium</v>
      </c>
      <c r="I40" s="4" t="s">
        <v>132</v>
      </c>
    </row>
    <row r="41" customFormat="false" ht="60" hidden="false" customHeight="true" outlineLevel="0" collapsed="false">
      <c r="A41" s="2" t="n">
        <v>40</v>
      </c>
      <c r="B41" s="3" t="s">
        <v>123</v>
      </c>
      <c r="C41" s="4" t="s">
        <v>133</v>
      </c>
      <c r="D41" s="4" t="s">
        <v>134</v>
      </c>
      <c r="E41" s="2" t="n">
        <f aca="false">ROUND(LEN(C41)/4,0)</f>
        <v>48</v>
      </c>
      <c r="F41" s="2" t="n">
        <f aca="false">ROUND(LEN(D41)/4,0)</f>
        <v>237</v>
      </c>
      <c r="G41" s="2" t="n">
        <f aca="false">E41+F41</f>
        <v>285</v>
      </c>
      <c r="H41" s="8" t="str">
        <f aca="false">IF(G41&lt;100,"Low",IF(G41&lt;250,"Medium","High"))</f>
        <v>High</v>
      </c>
      <c r="I41" s="4" t="s">
        <v>135</v>
      </c>
    </row>
    <row r="42" customFormat="false" ht="60" hidden="false" customHeight="true" outlineLevel="0" collapsed="false">
      <c r="A42" s="2" t="n">
        <v>41</v>
      </c>
      <c r="B42" s="3" t="s">
        <v>123</v>
      </c>
      <c r="C42" s="4" t="s">
        <v>136</v>
      </c>
      <c r="D42" s="4" t="s">
        <v>137</v>
      </c>
      <c r="E42" s="2" t="n">
        <f aca="false">ROUND(LEN(C42)/4,0)</f>
        <v>37</v>
      </c>
      <c r="F42" s="2" t="n">
        <f aca="false">ROUND(LEN(D42)/4,0)</f>
        <v>254</v>
      </c>
      <c r="G42" s="2" t="n">
        <f aca="false">E42+F42</f>
        <v>291</v>
      </c>
      <c r="H42" s="8" t="str">
        <f aca="false">IF(G42&lt;100,"Low",IF(G42&lt;250,"Medium","High"))</f>
        <v>High</v>
      </c>
      <c r="I42" s="4" t="s">
        <v>138</v>
      </c>
    </row>
    <row r="43" customFormat="false" ht="60" hidden="false" customHeight="true" outlineLevel="0" collapsed="false">
      <c r="A43" s="2" t="n">
        <v>42</v>
      </c>
      <c r="B43" s="3" t="s">
        <v>123</v>
      </c>
      <c r="C43" s="4" t="s">
        <v>139</v>
      </c>
      <c r="D43" s="4" t="s">
        <v>140</v>
      </c>
      <c r="E43" s="2" t="n">
        <f aca="false">ROUND(LEN(C43)/4,0)</f>
        <v>69</v>
      </c>
      <c r="F43" s="2" t="n">
        <f aca="false">ROUND(LEN(D43)/4,0)</f>
        <v>206</v>
      </c>
      <c r="G43" s="2" t="n">
        <f aca="false">E43+F43</f>
        <v>275</v>
      </c>
      <c r="H43" s="8" t="str">
        <f aca="false">IF(G43&lt;100,"Low",IF(G43&lt;250,"Medium","High"))</f>
        <v>High</v>
      </c>
      <c r="I43" s="4" t="s">
        <v>141</v>
      </c>
    </row>
    <row r="44" customFormat="false" ht="60" hidden="false" customHeight="true" outlineLevel="0" collapsed="false">
      <c r="A44" s="2" t="n">
        <v>43</v>
      </c>
      <c r="B44" s="3" t="s">
        <v>142</v>
      </c>
      <c r="C44" s="4" t="s">
        <v>143</v>
      </c>
      <c r="D44" s="4" t="s">
        <v>144</v>
      </c>
      <c r="E44" s="2" t="n">
        <f aca="false">ROUND(LEN(C44)/4,0)</f>
        <v>60</v>
      </c>
      <c r="F44" s="2" t="n">
        <f aca="false">ROUND(LEN(D44)/4,0)</f>
        <v>143</v>
      </c>
      <c r="G44" s="2" t="n">
        <f aca="false">E44+F44</f>
        <v>203</v>
      </c>
      <c r="H44" s="6" t="str">
        <f aca="false">IF(G44&lt;100,"Low",IF(G44&lt;250,"Medium","High"))</f>
        <v>Medium</v>
      </c>
      <c r="I44" s="4" t="s">
        <v>145</v>
      </c>
    </row>
    <row r="45" customFormat="false" ht="60" hidden="false" customHeight="true" outlineLevel="0" collapsed="false">
      <c r="A45" s="2" t="n">
        <v>44</v>
      </c>
      <c r="B45" s="3" t="s">
        <v>142</v>
      </c>
      <c r="C45" s="4" t="s">
        <v>146</v>
      </c>
      <c r="D45" s="4" t="s">
        <v>147</v>
      </c>
      <c r="E45" s="2" t="n">
        <f aca="false">ROUND(LEN(C45)/4,0)</f>
        <v>53</v>
      </c>
      <c r="F45" s="2" t="n">
        <f aca="false">ROUND(LEN(D45)/4,0)</f>
        <v>150</v>
      </c>
      <c r="G45" s="2" t="n">
        <f aca="false">E45+F45</f>
        <v>203</v>
      </c>
      <c r="H45" s="6" t="str">
        <f aca="false">IF(G45&lt;100,"Low",IF(G45&lt;250,"Medium","High"))</f>
        <v>Medium</v>
      </c>
      <c r="I45" s="4" t="s">
        <v>148</v>
      </c>
    </row>
    <row r="46" customFormat="false" ht="60" hidden="false" customHeight="true" outlineLevel="0" collapsed="false">
      <c r="A46" s="2" t="n">
        <v>45</v>
      </c>
      <c r="B46" s="3" t="s">
        <v>142</v>
      </c>
      <c r="C46" s="4" t="s">
        <v>149</v>
      </c>
      <c r="D46" s="4" t="s">
        <v>150</v>
      </c>
      <c r="E46" s="2" t="n">
        <f aca="false">ROUND(LEN(C46)/4,0)</f>
        <v>136</v>
      </c>
      <c r="F46" s="2" t="n">
        <f aca="false">ROUND(LEN(D46)/4,0)</f>
        <v>180</v>
      </c>
      <c r="G46" s="2" t="n">
        <f aca="false">E46+F46</f>
        <v>316</v>
      </c>
      <c r="H46" s="8" t="str">
        <f aca="false">IF(G46&lt;100,"Low",IF(G46&lt;250,"Medium","High"))</f>
        <v>High</v>
      </c>
      <c r="I46" s="4" t="s">
        <v>151</v>
      </c>
    </row>
    <row r="47" customFormat="false" ht="60" hidden="false" customHeight="true" outlineLevel="0" collapsed="false">
      <c r="A47" s="2" t="n">
        <v>46</v>
      </c>
      <c r="B47" s="3" t="s">
        <v>142</v>
      </c>
      <c r="C47" s="4" t="s">
        <v>152</v>
      </c>
      <c r="D47" s="4" t="s">
        <v>153</v>
      </c>
      <c r="E47" s="2" t="n">
        <f aca="false">ROUND(LEN(C47)/4,0)</f>
        <v>76</v>
      </c>
      <c r="F47" s="2" t="n">
        <f aca="false">ROUND(LEN(D47)/4,0)</f>
        <v>238</v>
      </c>
      <c r="G47" s="2" t="n">
        <f aca="false">E47+F47</f>
        <v>314</v>
      </c>
      <c r="H47" s="8" t="str">
        <f aca="false">IF(G47&lt;100,"Low",IF(G47&lt;250,"Medium","High"))</f>
        <v>High</v>
      </c>
      <c r="I47" s="4" t="s">
        <v>154</v>
      </c>
    </row>
    <row r="48" customFormat="false" ht="60" hidden="false" customHeight="true" outlineLevel="0" collapsed="false">
      <c r="A48" s="2" t="n">
        <v>47</v>
      </c>
      <c r="B48" s="3" t="s">
        <v>142</v>
      </c>
      <c r="C48" s="4" t="s">
        <v>155</v>
      </c>
      <c r="D48" s="4" t="s">
        <v>156</v>
      </c>
      <c r="E48" s="2" t="n">
        <f aca="false">ROUND(LEN(C48)/4,0)</f>
        <v>96</v>
      </c>
      <c r="F48" s="2" t="n">
        <f aca="false">ROUND(LEN(D48)/4,0)</f>
        <v>280</v>
      </c>
      <c r="G48" s="2" t="n">
        <f aca="false">E48+F48</f>
        <v>376</v>
      </c>
      <c r="H48" s="8" t="str">
        <f aca="false">IF(G48&lt;100,"Low",IF(G48&lt;250,"Medium","High"))</f>
        <v>High</v>
      </c>
      <c r="I48" s="4" t="s">
        <v>157</v>
      </c>
    </row>
    <row r="49" customFormat="false" ht="60" hidden="false" customHeight="true" outlineLevel="0" collapsed="false">
      <c r="A49" s="2" t="n">
        <v>48</v>
      </c>
      <c r="B49" s="3" t="s">
        <v>142</v>
      </c>
      <c r="C49" s="4" t="s">
        <v>158</v>
      </c>
      <c r="D49" s="4" t="s">
        <v>159</v>
      </c>
      <c r="E49" s="2" t="n">
        <f aca="false">ROUND(LEN(C49)/4,0)</f>
        <v>79</v>
      </c>
      <c r="F49" s="2" t="n">
        <f aca="false">ROUND(LEN(D49)/4,0)</f>
        <v>299</v>
      </c>
      <c r="G49" s="2" t="n">
        <f aca="false">E49+F49</f>
        <v>378</v>
      </c>
      <c r="H49" s="8" t="str">
        <f aca="false">IF(G49&lt;100,"Low",IF(G49&lt;250,"Medium","High"))</f>
        <v>High</v>
      </c>
      <c r="I49" s="4" t="s">
        <v>160</v>
      </c>
    </row>
    <row r="50" customFormat="false" ht="60" hidden="false" customHeight="true" outlineLevel="0" collapsed="false">
      <c r="A50" s="2" t="n">
        <v>49</v>
      </c>
      <c r="B50" s="3" t="s">
        <v>161</v>
      </c>
      <c r="C50" s="4" t="s">
        <v>162</v>
      </c>
      <c r="D50" s="4" t="s">
        <v>163</v>
      </c>
      <c r="E50" s="2" t="n">
        <f aca="false">ROUND(LEN(C50)/4,0)</f>
        <v>10</v>
      </c>
      <c r="F50" s="2" t="n">
        <f aca="false">ROUND(LEN(D50)/4,0)</f>
        <v>101</v>
      </c>
      <c r="G50" s="2" t="n">
        <f aca="false">E50+F50</f>
        <v>111</v>
      </c>
      <c r="H50" s="6" t="str">
        <f aca="false">IF(G50&lt;100,"Low",IF(G50&lt;250,"Medium","High"))</f>
        <v>Medium</v>
      </c>
      <c r="I50" s="4" t="s">
        <v>164</v>
      </c>
    </row>
    <row r="51" customFormat="false" ht="60" hidden="false" customHeight="true" outlineLevel="0" collapsed="false">
      <c r="A51" s="2" t="n">
        <v>50</v>
      </c>
      <c r="B51" s="3" t="s">
        <v>161</v>
      </c>
      <c r="C51" s="4" t="s">
        <v>165</v>
      </c>
      <c r="D51" s="4" t="s">
        <v>166</v>
      </c>
      <c r="E51" s="2" t="n">
        <f aca="false">ROUND(LEN(C51)/4,0)</f>
        <v>24</v>
      </c>
      <c r="F51" s="2" t="n">
        <f aca="false">ROUND(LEN(D51)/4,0)</f>
        <v>236</v>
      </c>
      <c r="G51" s="2" t="n">
        <f aca="false">E51+F51</f>
        <v>260</v>
      </c>
      <c r="H51" s="8" t="str">
        <f aca="false">IF(G51&lt;100,"Low",IF(G51&lt;250,"Medium","High"))</f>
        <v>High</v>
      </c>
      <c r="I51" s="4" t="s">
        <v>167</v>
      </c>
    </row>
    <row r="52" customFormat="false" ht="60" hidden="false" customHeight="true" outlineLevel="0" collapsed="false">
      <c r="A52" s="2" t="n">
        <v>51</v>
      </c>
      <c r="B52" s="3" t="s">
        <v>161</v>
      </c>
      <c r="C52" s="4" t="s">
        <v>168</v>
      </c>
      <c r="D52" s="4" t="s">
        <v>169</v>
      </c>
      <c r="E52" s="2" t="n">
        <f aca="false">ROUND(LEN(C52)/4,0)</f>
        <v>29</v>
      </c>
      <c r="F52" s="2" t="n">
        <f aca="false">ROUND(LEN(D52)/4,0)</f>
        <v>414</v>
      </c>
      <c r="G52" s="2" t="n">
        <f aca="false">E52+F52</f>
        <v>443</v>
      </c>
      <c r="H52" s="8" t="str">
        <f aca="false">IF(G52&lt;100,"Low",IF(G52&lt;250,"Medium","High"))</f>
        <v>High</v>
      </c>
      <c r="I52" s="4" t="s">
        <v>170</v>
      </c>
    </row>
    <row r="53" customFormat="false" ht="60" hidden="false" customHeight="true" outlineLevel="0" collapsed="false">
      <c r="A53" s="2" t="n">
        <v>52</v>
      </c>
      <c r="B53" s="3" t="s">
        <v>161</v>
      </c>
      <c r="C53" s="4" t="s">
        <v>171</v>
      </c>
      <c r="D53" s="4" t="s">
        <v>172</v>
      </c>
      <c r="E53" s="2" t="n">
        <f aca="false">ROUND(LEN(C53)/4,0)</f>
        <v>26</v>
      </c>
      <c r="F53" s="2" t="n">
        <f aca="false">ROUND(LEN(D53)/4,0)</f>
        <v>314</v>
      </c>
      <c r="G53" s="2" t="n">
        <f aca="false">E53+F53</f>
        <v>340</v>
      </c>
      <c r="H53" s="8" t="str">
        <f aca="false">IF(G53&lt;100,"Low",IF(G53&lt;250,"Medium","High"))</f>
        <v>High</v>
      </c>
      <c r="I53" s="4" t="s">
        <v>173</v>
      </c>
    </row>
    <row r="54" customFormat="false" ht="60" hidden="false" customHeight="true" outlineLevel="0" collapsed="false">
      <c r="A54" s="2" t="n">
        <v>53</v>
      </c>
      <c r="B54" s="3" t="s">
        <v>161</v>
      </c>
      <c r="C54" s="4" t="s">
        <v>174</v>
      </c>
      <c r="D54" s="4" t="s">
        <v>175</v>
      </c>
      <c r="E54" s="2" t="n">
        <f aca="false">ROUND(LEN(C54)/4,0)</f>
        <v>19</v>
      </c>
      <c r="F54" s="2" t="n">
        <f aca="false">ROUND(LEN(D54)/4,0)</f>
        <v>341</v>
      </c>
      <c r="G54" s="2" t="n">
        <f aca="false">E54+F54</f>
        <v>360</v>
      </c>
      <c r="H54" s="8" t="str">
        <f aca="false">IF(G54&lt;100,"Low",IF(G54&lt;250,"Medium","High"))</f>
        <v>High</v>
      </c>
      <c r="I54" s="4" t="s">
        <v>176</v>
      </c>
    </row>
    <row r="55" customFormat="false" ht="60" hidden="false" customHeight="true" outlineLevel="0" collapsed="false">
      <c r="A55" s="2" t="n">
        <v>54</v>
      </c>
      <c r="B55" s="3" t="s">
        <v>161</v>
      </c>
      <c r="C55" s="4" t="s">
        <v>177</v>
      </c>
      <c r="D55" s="4" t="s">
        <v>178</v>
      </c>
      <c r="E55" s="2" t="n">
        <f aca="false">ROUND(LEN(C55)/4,0)</f>
        <v>7</v>
      </c>
      <c r="F55" s="2" t="n">
        <f aca="false">ROUND(LEN(D55)/4,0)</f>
        <v>20</v>
      </c>
      <c r="G55" s="2" t="n">
        <f aca="false">E55+F55</f>
        <v>27</v>
      </c>
      <c r="H55" s="5" t="str">
        <f aca="false">IF(G55&lt;100,"Low",IF(G55&lt;250,"Medium","High"))</f>
        <v>Low</v>
      </c>
      <c r="I55" s="4" t="s">
        <v>179</v>
      </c>
    </row>
    <row r="56" customFormat="false" ht="60" hidden="false" customHeight="true" outlineLevel="0" collapsed="false">
      <c r="A56" s="2" t="n">
        <v>55</v>
      </c>
      <c r="B56" s="3" t="s">
        <v>180</v>
      </c>
      <c r="C56" s="4" t="s">
        <v>181</v>
      </c>
      <c r="D56" s="4" t="s">
        <v>182</v>
      </c>
      <c r="E56" s="2" t="n">
        <f aca="false">ROUND(LEN(C56)/4,0)</f>
        <v>33</v>
      </c>
      <c r="F56" s="2" t="n">
        <f aca="false">ROUND(LEN(D56)/4,0)</f>
        <v>139</v>
      </c>
      <c r="G56" s="2" t="n">
        <f aca="false">E56+F56</f>
        <v>172</v>
      </c>
      <c r="H56" s="6" t="str">
        <f aca="false">IF(G56&lt;100,"Low",IF(G56&lt;250,"Medium","High"))</f>
        <v>Medium</v>
      </c>
      <c r="I56" s="4" t="s">
        <v>183</v>
      </c>
    </row>
    <row r="57" customFormat="false" ht="60" hidden="false" customHeight="true" outlineLevel="0" collapsed="false">
      <c r="A57" s="2" t="n">
        <v>56</v>
      </c>
      <c r="B57" s="3" t="s">
        <v>180</v>
      </c>
      <c r="C57" s="4" t="s">
        <v>184</v>
      </c>
      <c r="D57" s="4" t="s">
        <v>185</v>
      </c>
      <c r="E57" s="2" t="n">
        <f aca="false">ROUND(LEN(C57)/4,0)</f>
        <v>60</v>
      </c>
      <c r="F57" s="2" t="n">
        <f aca="false">ROUND(LEN(D57)/4,0)</f>
        <v>131</v>
      </c>
      <c r="G57" s="2" t="n">
        <f aca="false">E57+F57</f>
        <v>191</v>
      </c>
      <c r="H57" s="6" t="str">
        <f aca="false">IF(G57&lt;100,"Low",IF(G57&lt;250,"Medium","High"))</f>
        <v>Medium</v>
      </c>
      <c r="I57" s="4" t="s">
        <v>186</v>
      </c>
    </row>
    <row r="58" customFormat="false" ht="60" hidden="false" customHeight="true" outlineLevel="0" collapsed="false">
      <c r="A58" s="2" t="n">
        <v>57</v>
      </c>
      <c r="B58" s="3" t="s">
        <v>180</v>
      </c>
      <c r="C58" s="4" t="s">
        <v>187</v>
      </c>
      <c r="D58" s="4" t="s">
        <v>188</v>
      </c>
      <c r="E58" s="2" t="n">
        <f aca="false">ROUND(LEN(C58)/4,0)</f>
        <v>56</v>
      </c>
      <c r="F58" s="2" t="n">
        <f aca="false">ROUND(LEN(D58)/4,0)</f>
        <v>407</v>
      </c>
      <c r="G58" s="2" t="n">
        <f aca="false">E58+F58</f>
        <v>463</v>
      </c>
      <c r="H58" s="8" t="str">
        <f aca="false">IF(G58&lt;100,"Low",IF(G58&lt;250,"Medium","High"))</f>
        <v>High</v>
      </c>
      <c r="I58" s="4" t="s">
        <v>189</v>
      </c>
    </row>
    <row r="59" customFormat="false" ht="60" hidden="false" customHeight="true" outlineLevel="0" collapsed="false">
      <c r="A59" s="2" t="n">
        <v>58</v>
      </c>
      <c r="B59" s="3" t="s">
        <v>180</v>
      </c>
      <c r="C59" s="4" t="s">
        <v>190</v>
      </c>
      <c r="D59" s="4" t="s">
        <v>191</v>
      </c>
      <c r="E59" s="2" t="n">
        <f aca="false">ROUND(LEN(C59)/4,0)</f>
        <v>70</v>
      </c>
      <c r="F59" s="2" t="n">
        <f aca="false">ROUND(LEN(D59)/4,0)</f>
        <v>548</v>
      </c>
      <c r="G59" s="2" t="n">
        <f aca="false">E59+F59</f>
        <v>618</v>
      </c>
      <c r="H59" s="8" t="str">
        <f aca="false">IF(G59&lt;100,"Low",IF(G59&lt;250,"Medium","High"))</f>
        <v>High</v>
      </c>
      <c r="I59" s="4" t="s">
        <v>192</v>
      </c>
    </row>
    <row r="60" customFormat="false" ht="60" hidden="false" customHeight="true" outlineLevel="0" collapsed="false">
      <c r="A60" s="2" t="n">
        <v>59</v>
      </c>
      <c r="B60" s="3" t="s">
        <v>180</v>
      </c>
      <c r="C60" s="4" t="s">
        <v>193</v>
      </c>
      <c r="D60" s="4" t="s">
        <v>194</v>
      </c>
      <c r="E60" s="2" t="n">
        <f aca="false">ROUND(LEN(C60)/4,0)</f>
        <v>27</v>
      </c>
      <c r="F60" s="2" t="n">
        <f aca="false">ROUND(LEN(D60)/4,0)</f>
        <v>298</v>
      </c>
      <c r="G60" s="2" t="n">
        <f aca="false">E60+F60</f>
        <v>325</v>
      </c>
      <c r="H60" s="8" t="str">
        <f aca="false">IF(G60&lt;100,"Low",IF(G60&lt;250,"Medium","High"))</f>
        <v>High</v>
      </c>
      <c r="I60" s="4" t="s">
        <v>195</v>
      </c>
    </row>
    <row r="61" customFormat="false" ht="60" hidden="false" customHeight="true" outlineLevel="0" collapsed="false">
      <c r="A61" s="2" t="n">
        <v>60</v>
      </c>
      <c r="B61" s="3" t="s">
        <v>180</v>
      </c>
      <c r="C61" s="4" t="s">
        <v>196</v>
      </c>
      <c r="D61" s="4" t="s">
        <v>197</v>
      </c>
      <c r="E61" s="2" t="n">
        <f aca="false">ROUND(LEN(C61)/4,0)</f>
        <v>56</v>
      </c>
      <c r="F61" s="2" t="n">
        <f aca="false">ROUND(LEN(D61)/4,0)</f>
        <v>268</v>
      </c>
      <c r="G61" s="2" t="n">
        <f aca="false">E61+F61</f>
        <v>324</v>
      </c>
      <c r="H61" s="8" t="str">
        <f aca="false">IF(G61&lt;100,"Low",IF(G61&lt;250,"Medium","High"))</f>
        <v>High</v>
      </c>
      <c r="I61" s="4" t="s">
        <v>198</v>
      </c>
    </row>
  </sheetData>
  <autoFilter ref="A1:I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1"/>
    <col collapsed="false" customWidth="true" hidden="false" outlineLevel="0" max="4" min="3" style="0" width="16"/>
    <col collapsed="false" customWidth="true" hidden="false" outlineLevel="0" max="5" min="5" style="0" width="15"/>
    <col collapsed="false" customWidth="true" hidden="false" outlineLevel="0" max="6" min="6" style="0" width="13"/>
    <col collapsed="false" customWidth="true" hidden="false" outlineLevel="0" max="7" min="7" style="0" width="10"/>
  </cols>
  <sheetData>
    <row r="1" customFormat="false" ht="15" hidden="false" customHeight="false" outlineLevel="0" collapsed="false">
      <c r="A1" s="1" t="s">
        <v>1</v>
      </c>
      <c r="B1" s="1" t="s">
        <v>199</v>
      </c>
      <c r="C1" s="1" t="s">
        <v>200</v>
      </c>
      <c r="D1" s="1" t="s">
        <v>201</v>
      </c>
      <c r="E1" s="1" t="s">
        <v>202</v>
      </c>
      <c r="F1" s="1" t="s">
        <v>203</v>
      </c>
      <c r="G1" s="1" t="s">
        <v>7</v>
      </c>
    </row>
    <row r="2" customFormat="false" ht="15" hidden="false" customHeight="false" outlineLevel="0" collapsed="false">
      <c r="A2" s="9" t="s">
        <v>85</v>
      </c>
      <c r="B2" s="2" t="n">
        <f aca="false">COUNTIF(Dataset!B:B,A2)</f>
        <v>6</v>
      </c>
      <c r="C2" s="2" t="n">
        <f aca="false">ROUND(AVERAGEIF(Dataset!B:B,A2,Dataset!E:E),1)</f>
        <v>284.7</v>
      </c>
      <c r="D2" s="2" t="n">
        <f aca="false">ROUND(AVERAGEIF(Dataset!B:B,A2,Dataset!F:F),1)</f>
        <v>108.5</v>
      </c>
      <c r="E2" s="2" t="n">
        <f aca="false">ROUND(C2+D2,1)</f>
        <v>393.2</v>
      </c>
      <c r="F2" s="2" t="n">
        <f aca="false">ROUND(D2/E2*100,1)</f>
        <v>27.6</v>
      </c>
      <c r="G2" s="2" t="str">
        <f aca="false">IF(E2&lt;100,"Low",IF(E2&lt;250,"Medium","High"))</f>
        <v>High</v>
      </c>
    </row>
    <row r="3" customFormat="false" ht="15" hidden="false" customHeight="false" outlineLevel="0" collapsed="false">
      <c r="A3" s="9" t="s">
        <v>180</v>
      </c>
      <c r="B3" s="2" t="n">
        <f aca="false">COUNTIF(Dataset!B:B,A3)</f>
        <v>6</v>
      </c>
      <c r="C3" s="2" t="n">
        <f aca="false">ROUND(AVERAGEIF(Dataset!B:B,A3,Dataset!E:E),1)</f>
        <v>50.3</v>
      </c>
      <c r="D3" s="2" t="n">
        <f aca="false">ROUND(AVERAGEIF(Dataset!B:B,A3,Dataset!F:F),1)</f>
        <v>298.5</v>
      </c>
      <c r="E3" s="2" t="n">
        <f aca="false">ROUND(C3+D3,1)</f>
        <v>348.8</v>
      </c>
      <c r="F3" s="2" t="n">
        <f aca="false">ROUND(D3/E3*100,1)</f>
        <v>85.6</v>
      </c>
      <c r="G3" s="2" t="str">
        <f aca="false">IF(E3&lt;100,"Low",IF(E3&lt;250,"Medium","High"))</f>
        <v>High</v>
      </c>
    </row>
    <row r="4" customFormat="false" ht="15" hidden="false" customHeight="false" outlineLevel="0" collapsed="false">
      <c r="A4" s="9" t="s">
        <v>142</v>
      </c>
      <c r="B4" s="2" t="n">
        <f aca="false">COUNTIF(Dataset!B:B,A4)</f>
        <v>6</v>
      </c>
      <c r="C4" s="2" t="n">
        <f aca="false">ROUND(AVERAGEIF(Dataset!B:B,A4,Dataset!E:E),1)</f>
        <v>83.3</v>
      </c>
      <c r="D4" s="2" t="n">
        <f aca="false">ROUND(AVERAGEIF(Dataset!B:B,A4,Dataset!F:F),1)</f>
        <v>215</v>
      </c>
      <c r="E4" s="2" t="n">
        <f aca="false">ROUND(C4+D4,1)</f>
        <v>298.3</v>
      </c>
      <c r="F4" s="2" t="n">
        <f aca="false">ROUND(D4/E4*100,1)</f>
        <v>72.1</v>
      </c>
      <c r="G4" s="2" t="str">
        <f aca="false">IF(E4&lt;100,"Low",IF(E4&lt;250,"Medium","High"))</f>
        <v>High</v>
      </c>
    </row>
    <row r="5" customFormat="false" ht="15" hidden="false" customHeight="false" outlineLevel="0" collapsed="false">
      <c r="A5" s="9" t="s">
        <v>161</v>
      </c>
      <c r="B5" s="2" t="n">
        <f aca="false">COUNTIF(Dataset!B:B,A5)</f>
        <v>6</v>
      </c>
      <c r="C5" s="2" t="n">
        <f aca="false">ROUND(AVERAGEIF(Dataset!B:B,A5,Dataset!E:E),1)</f>
        <v>19.2</v>
      </c>
      <c r="D5" s="2" t="n">
        <f aca="false">ROUND(AVERAGEIF(Dataset!B:B,A5,Dataset!F:F),1)</f>
        <v>237.7</v>
      </c>
      <c r="E5" s="2" t="n">
        <f aca="false">ROUND(C5+D5,1)</f>
        <v>256.9</v>
      </c>
      <c r="F5" s="2" t="n">
        <f aca="false">ROUND(D5/E5*100,1)</f>
        <v>92.5</v>
      </c>
      <c r="G5" s="2" t="str">
        <f aca="false">IF(E5&lt;100,"Low",IF(E5&lt;250,"Medium","High"))</f>
        <v>High</v>
      </c>
    </row>
    <row r="6" customFormat="false" ht="15" hidden="false" customHeight="false" outlineLevel="0" collapsed="false">
      <c r="A6" s="9" t="s">
        <v>104</v>
      </c>
      <c r="B6" s="2" t="n">
        <f aca="false">COUNTIF(Dataset!B:B,A6)</f>
        <v>6</v>
      </c>
      <c r="C6" s="2" t="n">
        <f aca="false">ROUND(AVERAGEIF(Dataset!B:B,A6,Dataset!E:E),1)</f>
        <v>22.3</v>
      </c>
      <c r="D6" s="2" t="n">
        <f aca="false">ROUND(AVERAGEIF(Dataset!B:B,A6,Dataset!F:F),1)</f>
        <v>231.3</v>
      </c>
      <c r="E6" s="2" t="n">
        <f aca="false">ROUND(C6+D6,1)</f>
        <v>253.6</v>
      </c>
      <c r="F6" s="2" t="n">
        <f aca="false">ROUND(D6/E6*100,1)</f>
        <v>91.2</v>
      </c>
      <c r="G6" s="2" t="str">
        <f aca="false">IF(E6&lt;100,"Low",IF(E6&lt;250,"Medium","High"))</f>
        <v>High</v>
      </c>
    </row>
    <row r="7" customFormat="false" ht="15" hidden="false" customHeight="false" outlineLevel="0" collapsed="false">
      <c r="A7" s="9" t="s">
        <v>123</v>
      </c>
      <c r="B7" s="2" t="n">
        <f aca="false">COUNTIF(Dataset!B:B,A7)</f>
        <v>6</v>
      </c>
      <c r="C7" s="2" t="n">
        <f aca="false">ROUND(AVERAGEIF(Dataset!B:B,A7,Dataset!E:E),1)</f>
        <v>41.5</v>
      </c>
      <c r="D7" s="2" t="n">
        <f aca="false">ROUND(AVERAGEIF(Dataset!B:B,A7,Dataset!F:F),1)</f>
        <v>176.3</v>
      </c>
      <c r="E7" s="2" t="n">
        <f aca="false">ROUND(C7+D7,1)</f>
        <v>217.8</v>
      </c>
      <c r="F7" s="2" t="n">
        <f aca="false">ROUND(D7/E7*100,1)</f>
        <v>80.9</v>
      </c>
      <c r="G7" s="2" t="str">
        <f aca="false">IF(E7&lt;100,"Low",IF(E7&lt;250,"Medium","High"))</f>
        <v>Medium</v>
      </c>
    </row>
    <row r="8" customFormat="false" ht="15" hidden="false" customHeight="false" outlineLevel="0" collapsed="false">
      <c r="A8" s="9" t="s">
        <v>47</v>
      </c>
      <c r="B8" s="2" t="n">
        <f aca="false">COUNTIF(Dataset!B:B,A8)</f>
        <v>6</v>
      </c>
      <c r="C8" s="2" t="n">
        <f aca="false">ROUND(AVERAGEIF(Dataset!B:B,A8,Dataset!E:E),1)</f>
        <v>71.3</v>
      </c>
      <c r="D8" s="2" t="n">
        <f aca="false">ROUND(AVERAGEIF(Dataset!B:B,A8,Dataset!F:F),1)</f>
        <v>54.3</v>
      </c>
      <c r="E8" s="2" t="n">
        <f aca="false">ROUND(C8+D8,1)</f>
        <v>125.6</v>
      </c>
      <c r="F8" s="2" t="n">
        <f aca="false">ROUND(D8/E8*100,1)</f>
        <v>43.2</v>
      </c>
      <c r="G8" s="2" t="str">
        <f aca="false">IF(E8&lt;100,"Low",IF(E8&lt;250,"Medium","High"))</f>
        <v>Medium</v>
      </c>
    </row>
    <row r="9" customFormat="false" ht="15" hidden="false" customHeight="false" outlineLevel="0" collapsed="false">
      <c r="A9" s="9" t="s">
        <v>28</v>
      </c>
      <c r="B9" s="2" t="n">
        <f aca="false">COUNTIF(Dataset!B:B,A9)</f>
        <v>6</v>
      </c>
      <c r="C9" s="2" t="n">
        <f aca="false">ROUND(AVERAGEIF(Dataset!B:B,A9,Dataset!E:E),1)</f>
        <v>11.3</v>
      </c>
      <c r="D9" s="2" t="n">
        <f aca="false">ROUND(AVERAGEIF(Dataset!B:B,A9,Dataset!F:F),1)</f>
        <v>76.2</v>
      </c>
      <c r="E9" s="2" t="n">
        <f aca="false">ROUND(C9+D9,1)</f>
        <v>87.5</v>
      </c>
      <c r="F9" s="2" t="n">
        <f aca="false">ROUND(D9/E9*100,1)</f>
        <v>87.1</v>
      </c>
      <c r="G9" s="2" t="str">
        <f aca="false">IF(E9&lt;100,"Low",IF(E9&lt;250,"Medium","High"))</f>
        <v>Low</v>
      </c>
    </row>
    <row r="10" customFormat="false" ht="15" hidden="false" customHeight="false" outlineLevel="0" collapsed="false">
      <c r="A10" s="9" t="s">
        <v>66</v>
      </c>
      <c r="B10" s="2" t="n">
        <f aca="false">COUNTIF(Dataset!B:B,A10)</f>
        <v>6</v>
      </c>
      <c r="C10" s="2" t="n">
        <f aca="false">ROUND(AVERAGEIF(Dataset!B:B,A10,Dataset!E:E),1)</f>
        <v>8.2</v>
      </c>
      <c r="D10" s="2" t="n">
        <f aca="false">ROUND(AVERAGEIF(Dataset!B:B,A10,Dataset!F:F),1)</f>
        <v>42.2</v>
      </c>
      <c r="E10" s="2" t="n">
        <f aca="false">ROUND(C10+D10,1)</f>
        <v>50.4</v>
      </c>
      <c r="F10" s="2" t="n">
        <f aca="false">ROUND(D10/E10*100,1)</f>
        <v>83.7</v>
      </c>
      <c r="G10" s="2" t="str">
        <f aca="false">IF(E10&lt;100,"Low",IF(E10&lt;250,"Medium","High"))</f>
        <v>Low</v>
      </c>
    </row>
    <row r="11" customFormat="false" ht="15" hidden="false" customHeight="false" outlineLevel="0" collapsed="false">
      <c r="A11" s="9" t="s">
        <v>9</v>
      </c>
      <c r="B11" s="2" t="n">
        <f aca="false">COUNTIF(Dataset!B:B,A11)</f>
        <v>6</v>
      </c>
      <c r="C11" s="2" t="n">
        <f aca="false">ROUND(AVERAGEIF(Dataset!B:B,A11,Dataset!E:E),1)</f>
        <v>9.3</v>
      </c>
      <c r="D11" s="2" t="n">
        <f aca="false">ROUND(AVERAGEIF(Dataset!B:B,A11,Dataset!F:F),1)</f>
        <v>18.5</v>
      </c>
      <c r="E11" s="2" t="n">
        <f aca="false">ROUND(C11+D11,1)</f>
        <v>27.8</v>
      </c>
      <c r="F11" s="2" t="n">
        <f aca="false">ROUND(D11/E11*100,1)</f>
        <v>66.5</v>
      </c>
      <c r="G11" s="2" t="str">
        <f aca="false">IF(E11&lt;100,"Low",IF(E11&lt;250,"Medium","High"))</f>
        <v>Low</v>
      </c>
    </row>
    <row r="13" customFormat="false" ht="15" hidden="false" customHeight="false" outlineLevel="0" collapsed="false">
      <c r="A13" s="10" t="s">
        <v>204</v>
      </c>
      <c r="B13" s="10" t="n">
        <f aca="false">SUM(B2:B11)</f>
        <v>60</v>
      </c>
      <c r="C13" s="10" t="n">
        <f aca="false">ROUND(AVERAGE(C2:C11),1)</f>
        <v>60.1</v>
      </c>
      <c r="D13" s="10" t="n">
        <f aca="false">ROUND(AVERAGE(D2:D11),1)</f>
        <v>145.9</v>
      </c>
      <c r="E13" s="10" t="n">
        <f aca="false">ROUND(AVERAGE(E2:E11),1)</f>
        <v>206</v>
      </c>
    </row>
    <row r="14" customFormat="false" ht="15" hidden="false" customHeight="false" outlineLevel="0" collapsed="false">
      <c r="A14" s="11" t="s">
        <v>205</v>
      </c>
      <c r="B14" s="11" t="n">
        <f aca="false">SUM(Dataset!G2:G61)</f>
        <v>12360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9.5" hidden="false" customHeight="true" outlineLevel="0" collapsed="false">
      <c r="A1" s="12" t="s">
        <v>206</v>
      </c>
    </row>
    <row r="2" customFormat="false" ht="7.5" hidden="false" customHeight="true" outlineLevel="0" collapsed="false">
      <c r="A2" s="13"/>
    </row>
    <row r="3" customFormat="false" ht="19.5" hidden="false" customHeight="true" outlineLevel="0" collapsed="false">
      <c r="A3" s="14" t="s">
        <v>207</v>
      </c>
    </row>
    <row r="4" customFormat="false" ht="33.75" hidden="false" customHeight="true" outlineLevel="0" collapsed="false">
      <c r="A4" s="13" t="s">
        <v>208</v>
      </c>
    </row>
    <row r="5" customFormat="false" ht="7.5" hidden="false" customHeight="true" outlineLevel="0" collapsed="false">
      <c r="A5" s="13"/>
    </row>
    <row r="6" customFormat="false" ht="19.5" hidden="false" customHeight="true" outlineLevel="0" collapsed="false">
      <c r="A6" s="14" t="s">
        <v>209</v>
      </c>
    </row>
    <row r="7" customFormat="false" ht="33.75" hidden="false" customHeight="true" outlineLevel="0" collapsed="false">
      <c r="A7" s="13" t="s">
        <v>210</v>
      </c>
    </row>
    <row r="8" customFormat="false" ht="7.5" hidden="false" customHeight="true" outlineLevel="0" collapsed="false">
      <c r="A8" s="13"/>
    </row>
    <row r="9" customFormat="false" ht="19.5" hidden="false" customHeight="true" outlineLevel="0" collapsed="false">
      <c r="A9" s="14" t="s">
        <v>211</v>
      </c>
    </row>
    <row r="10" customFormat="false" ht="33.75" hidden="false" customHeight="true" outlineLevel="0" collapsed="false">
      <c r="A10" s="13" t="s">
        <v>212</v>
      </c>
    </row>
    <row r="11" customFormat="false" ht="7.5" hidden="false" customHeight="true" outlineLevel="0" collapsed="false">
      <c r="A11" s="13"/>
    </row>
    <row r="12" customFormat="false" ht="19.5" hidden="false" customHeight="true" outlineLevel="0" collapsed="false">
      <c r="A12" s="14" t="s">
        <v>213</v>
      </c>
    </row>
    <row r="13" customFormat="false" ht="33.75" hidden="false" customHeight="true" outlineLevel="0" collapsed="false">
      <c r="A13" s="13" t="s">
        <v>214</v>
      </c>
    </row>
    <row r="14" customFormat="false" ht="7.5" hidden="false" customHeight="true" outlineLevel="0" collapsed="false">
      <c r="A14" s="13"/>
    </row>
    <row r="15" customFormat="false" ht="19.5" hidden="false" customHeight="true" outlineLevel="0" collapsed="false">
      <c r="A15" s="14" t="s">
        <v>215</v>
      </c>
    </row>
    <row r="16" customFormat="false" ht="33.75" hidden="false" customHeight="true" outlineLevel="0" collapsed="false">
      <c r="A16" s="13" t="s">
        <v>216</v>
      </c>
    </row>
    <row r="17" customFormat="false" ht="33.75" hidden="false" customHeight="true" outlineLevel="0" collapsed="false">
      <c r="A17" s="13" t="s">
        <v>217</v>
      </c>
    </row>
    <row r="18" customFormat="false" ht="33.75" hidden="false" customHeight="true" outlineLevel="0" collapsed="false">
      <c r="A18" s="13" t="s">
        <v>218</v>
      </c>
    </row>
    <row r="19" customFormat="false" ht="33.75" hidden="false" customHeight="true" outlineLevel="0" collapsed="false">
      <c r="A19" s="13" t="s">
        <v>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2026-07-27T23:34:29Z</dcterms:created>
  <dc:creator>openpyxl</dc:creator>
  <dc:description/>
  <dc:language>en-US</dc:language>
  <cp:lastModifiedBy/>
  <dcterms:modified xsi:type="dcterms:W3CDTF">2026-07-27T23:34:38Z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